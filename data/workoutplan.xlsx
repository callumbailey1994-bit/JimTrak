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gfisherukholdings-my.sharepoint.com/personal/callum_bailey_kingfisherinsurance_com/Documents/"/>
    </mc:Choice>
  </mc:AlternateContent>
  <xr:revisionPtr revIDLastSave="639" documentId="8_{C118E74E-B14D-485D-9CDB-1B770A871597}" xr6:coauthVersionLast="47" xr6:coauthVersionMax="47" xr10:uidLastSave="{0525D9DD-DF22-43E7-AE0F-E46B496E2AC3}"/>
  <bookViews>
    <workbookView xWindow="-120" yWindow="-120" windowWidth="38640" windowHeight="21120" xr2:uid="{A68F652A-E58C-4636-BFEA-2A8C48E5AF53}"/>
  </bookViews>
  <sheets>
    <sheet name="Plan" sheetId="1" r:id="rId1"/>
    <sheet name="Actual" sheetId="2" r:id="rId2"/>
    <sheet name="Weigh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3" i="3"/>
  <c r="J3" i="3"/>
  <c r="A8" i="3"/>
  <c r="A9" i="3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5" i="3"/>
  <c r="A6" i="3" s="1"/>
  <c r="A7" i="3" s="1"/>
  <c r="A4" i="3"/>
  <c r="F4" i="3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3" i="3"/>
  <c r="B11" i="3"/>
  <c r="B18" i="3" s="1"/>
  <c r="B25" i="3" s="1"/>
  <c r="B32" i="3" s="1"/>
  <c r="B39" i="3" s="1"/>
  <c r="B46" i="3" s="1"/>
  <c r="B53" i="3" s="1"/>
  <c r="B60" i="3" s="1"/>
  <c r="B67" i="3" s="1"/>
  <c r="B12" i="3"/>
  <c r="B19" i="3" s="1"/>
  <c r="B26" i="3" s="1"/>
  <c r="B33" i="3" s="1"/>
  <c r="B40" i="3" s="1"/>
  <c r="B47" i="3" s="1"/>
  <c r="B54" i="3" s="1"/>
  <c r="B61" i="3" s="1"/>
  <c r="B68" i="3" s="1"/>
  <c r="B13" i="3"/>
  <c r="B20" i="3" s="1"/>
  <c r="B27" i="3" s="1"/>
  <c r="B34" i="3" s="1"/>
  <c r="B41" i="3" s="1"/>
  <c r="B48" i="3" s="1"/>
  <c r="B55" i="3" s="1"/>
  <c r="B62" i="3" s="1"/>
  <c r="B69" i="3" s="1"/>
  <c r="B14" i="3"/>
  <c r="B15" i="3"/>
  <c r="B22" i="3" s="1"/>
  <c r="B29" i="3" s="1"/>
  <c r="B36" i="3" s="1"/>
  <c r="B43" i="3" s="1"/>
  <c r="B50" i="3" s="1"/>
  <c r="B57" i="3" s="1"/>
  <c r="B64" i="3" s="1"/>
  <c r="B71" i="3" s="1"/>
  <c r="B16" i="3"/>
  <c r="B21" i="3"/>
  <c r="B28" i="3" s="1"/>
  <c r="B35" i="3" s="1"/>
  <c r="B42" i="3" s="1"/>
  <c r="B49" i="3" s="1"/>
  <c r="B56" i="3" s="1"/>
  <c r="B63" i="3" s="1"/>
  <c r="B70" i="3" s="1"/>
  <c r="B23" i="3"/>
  <c r="B30" i="3" s="1"/>
  <c r="B37" i="3" s="1"/>
  <c r="B44" i="3" s="1"/>
  <c r="B51" i="3" s="1"/>
  <c r="B58" i="3" s="1"/>
  <c r="B65" i="3" s="1"/>
  <c r="B72" i="3" s="1"/>
  <c r="B10" i="3"/>
  <c r="B17" i="3" s="1"/>
  <c r="B24" i="3" s="1"/>
  <c r="B31" i="3" s="1"/>
  <c r="B38" i="3" s="1"/>
  <c r="B45" i="3" s="1"/>
  <c r="B52" i="3" s="1"/>
  <c r="B59" i="3" s="1"/>
  <c r="B66" i="3" s="1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S2" i="2"/>
  <c r="W2" i="2" s="1"/>
  <c r="AA2" i="2" s="1"/>
  <c r="AE2" i="2" s="1"/>
  <c r="AI2" i="2" s="1"/>
  <c r="AM2" i="2" s="1"/>
  <c r="AQ2" i="2" s="1"/>
  <c r="Q2" i="2"/>
  <c r="U2" i="2" s="1"/>
  <c r="Y2" i="2" s="1"/>
  <c r="AC2" i="2" s="1"/>
  <c r="AG2" i="2" s="1"/>
  <c r="AK2" i="2" s="1"/>
  <c r="AO2" i="2" s="1"/>
  <c r="AS2" i="2" s="1"/>
  <c r="N2" i="2"/>
  <c r="R2" i="2" s="1"/>
  <c r="V2" i="2" s="1"/>
  <c r="Z2" i="2" s="1"/>
  <c r="AD2" i="2" s="1"/>
  <c r="AH2" i="2" s="1"/>
  <c r="AL2" i="2" s="1"/>
  <c r="AP2" i="2" s="1"/>
  <c r="AT2" i="2" s="1"/>
  <c r="M2" i="2"/>
  <c r="L2" i="2"/>
  <c r="P2" i="2" s="1"/>
  <c r="T2" i="2" s="1"/>
  <c r="X2" i="2" s="1"/>
  <c r="AB2" i="2" s="1"/>
  <c r="AF2" i="2" s="1"/>
  <c r="AJ2" i="2" s="1"/>
  <c r="AN2" i="2" s="1"/>
  <c r="AR2" i="2" s="1"/>
  <c r="K2" i="2"/>
  <c r="O2" i="2" s="1"/>
  <c r="O21" i="1"/>
  <c r="R21" i="1" s="1"/>
  <c r="U21" i="1" s="1"/>
  <c r="X21" i="1" s="1"/>
  <c r="AA21" i="1" s="1"/>
  <c r="AD21" i="1" s="1"/>
  <c r="AG21" i="1" s="1"/>
  <c r="AJ21" i="1" s="1"/>
  <c r="N21" i="1"/>
  <c r="Q21" i="1" s="1"/>
  <c r="T21" i="1" s="1"/>
  <c r="W21" i="1" s="1"/>
  <c r="Z21" i="1" s="1"/>
  <c r="AC21" i="1" s="1"/>
  <c r="AF21" i="1" s="1"/>
  <c r="AI21" i="1" s="1"/>
  <c r="M21" i="1"/>
  <c r="P21" i="1" s="1"/>
  <c r="S21" i="1" s="1"/>
  <c r="V21" i="1" s="1"/>
  <c r="Y21" i="1" s="1"/>
  <c r="AB21" i="1" s="1"/>
  <c r="AE21" i="1" s="1"/>
  <c r="AH21" i="1" s="1"/>
  <c r="L21" i="1"/>
  <c r="K21" i="1"/>
  <c r="J21" i="1"/>
  <c r="L2" i="1"/>
  <c r="O2" i="1" s="1"/>
  <c r="R2" i="1" s="1"/>
  <c r="U2" i="1" s="1"/>
  <c r="X2" i="1" s="1"/>
  <c r="AA2" i="1" s="1"/>
  <c r="AD2" i="1" s="1"/>
  <c r="AG2" i="1" s="1"/>
  <c r="AJ2" i="1" s="1"/>
  <c r="K2" i="1"/>
  <c r="N2" i="1" s="1"/>
  <c r="Q2" i="1" s="1"/>
  <c r="T2" i="1" s="1"/>
  <c r="W2" i="1" s="1"/>
  <c r="Z2" i="1" s="1"/>
  <c r="AC2" i="1" s="1"/>
  <c r="AF2" i="1" s="1"/>
  <c r="AI2" i="1" s="1"/>
  <c r="J2" i="1"/>
  <c r="M2" i="1" s="1"/>
  <c r="P2" i="1" s="1"/>
  <c r="S2" i="1" s="1"/>
  <c r="V2" i="1" s="1"/>
  <c r="Y2" i="1" s="1"/>
  <c r="AB2" i="1" s="1"/>
  <c r="AE2" i="1" s="1"/>
  <c r="AH2" i="1" s="1"/>
  <c r="T38" i="1"/>
  <c r="Z38" i="1" s="1"/>
  <c r="AF38" i="1" s="1"/>
  <c r="N38" i="1"/>
  <c r="M38" i="1"/>
  <c r="S38" i="1" s="1"/>
  <c r="Y38" i="1" s="1"/>
  <c r="AE38" i="1" s="1"/>
  <c r="N37" i="1"/>
  <c r="T37" i="1" s="1"/>
  <c r="Z37" i="1" s="1"/>
  <c r="AF37" i="1" s="1"/>
  <c r="M37" i="1"/>
  <c r="S37" i="1" s="1"/>
  <c r="Y37" i="1" s="1"/>
  <c r="AE37" i="1" s="1"/>
  <c r="N36" i="1"/>
  <c r="T36" i="1" s="1"/>
  <c r="Z36" i="1" s="1"/>
  <c r="AF36" i="1" s="1"/>
  <c r="M36" i="1"/>
  <c r="S36" i="1" s="1"/>
  <c r="Y36" i="1" s="1"/>
  <c r="AE36" i="1" s="1"/>
  <c r="R35" i="1"/>
  <c r="X35" i="1" s="1"/>
  <c r="AD35" i="1" s="1"/>
  <c r="AJ35" i="1" s="1"/>
  <c r="Q35" i="1"/>
  <c r="W35" i="1" s="1"/>
  <c r="AC35" i="1" s="1"/>
  <c r="AI35" i="1" s="1"/>
  <c r="P35" i="1"/>
  <c r="V35" i="1" s="1"/>
  <c r="AB35" i="1" s="1"/>
  <c r="AH35" i="1" s="1"/>
  <c r="N35" i="1"/>
  <c r="T35" i="1" s="1"/>
  <c r="Z35" i="1" s="1"/>
  <c r="AF35" i="1" s="1"/>
  <c r="M35" i="1"/>
  <c r="S35" i="1" s="1"/>
  <c r="Y35" i="1" s="1"/>
  <c r="AE35" i="1" s="1"/>
  <c r="L46" i="1"/>
  <c r="O46" i="1" s="1"/>
  <c r="R46" i="1" s="1"/>
  <c r="U46" i="1" s="1"/>
  <c r="X46" i="1" s="1"/>
  <c r="AA46" i="1" s="1"/>
  <c r="AD46" i="1" s="1"/>
  <c r="AG46" i="1" s="1"/>
  <c r="AJ46" i="1" s="1"/>
  <c r="L45" i="1"/>
  <c r="O45" i="1" s="1"/>
  <c r="R45" i="1" s="1"/>
  <c r="U45" i="1" s="1"/>
  <c r="X45" i="1" s="1"/>
  <c r="AA45" i="1" s="1"/>
  <c r="AD45" i="1" s="1"/>
  <c r="AG45" i="1" s="1"/>
  <c r="AJ45" i="1" s="1"/>
  <c r="L44" i="1"/>
  <c r="O44" i="1" s="1"/>
  <c r="R44" i="1" s="1"/>
  <c r="U44" i="1" s="1"/>
  <c r="X44" i="1" s="1"/>
  <c r="AA44" i="1" s="1"/>
  <c r="AD44" i="1" s="1"/>
  <c r="AG44" i="1" s="1"/>
  <c r="AJ44" i="1" s="1"/>
  <c r="L43" i="1"/>
  <c r="O43" i="1" s="1"/>
  <c r="R43" i="1" s="1"/>
  <c r="U43" i="1" s="1"/>
  <c r="X43" i="1" s="1"/>
  <c r="AA43" i="1" s="1"/>
  <c r="AD43" i="1" s="1"/>
  <c r="AG43" i="1" s="1"/>
  <c r="AJ43" i="1" s="1"/>
  <c r="L42" i="1"/>
  <c r="O42" i="1" s="1"/>
  <c r="R42" i="1" s="1"/>
  <c r="U42" i="1" s="1"/>
  <c r="X42" i="1" s="1"/>
  <c r="AA42" i="1" s="1"/>
  <c r="AD42" i="1" s="1"/>
  <c r="AG42" i="1" s="1"/>
  <c r="AJ42" i="1" s="1"/>
  <c r="L41" i="1"/>
  <c r="O41" i="1" s="1"/>
  <c r="R41" i="1" s="1"/>
  <c r="U41" i="1" s="1"/>
  <c r="X41" i="1" s="1"/>
  <c r="AA41" i="1" s="1"/>
  <c r="AD41" i="1" s="1"/>
  <c r="AG41" i="1" s="1"/>
  <c r="AJ41" i="1" s="1"/>
  <c r="L40" i="1"/>
  <c r="O40" i="1" s="1"/>
  <c r="R40" i="1" s="1"/>
  <c r="U40" i="1" s="1"/>
  <c r="X40" i="1" s="1"/>
  <c r="AA40" i="1" s="1"/>
  <c r="AD40" i="1" s="1"/>
  <c r="AG40" i="1" s="1"/>
  <c r="AJ40" i="1" s="1"/>
  <c r="K46" i="1"/>
  <c r="N46" i="1" s="1"/>
  <c r="Q46" i="1" s="1"/>
  <c r="T46" i="1" s="1"/>
  <c r="W46" i="1" s="1"/>
  <c r="Z46" i="1" s="1"/>
  <c r="AC46" i="1" s="1"/>
  <c r="AF46" i="1" s="1"/>
  <c r="AI46" i="1" s="1"/>
  <c r="K45" i="1"/>
  <c r="N45" i="1" s="1"/>
  <c r="Q45" i="1" s="1"/>
  <c r="T45" i="1" s="1"/>
  <c r="W45" i="1" s="1"/>
  <c r="Z45" i="1" s="1"/>
  <c r="AC45" i="1" s="1"/>
  <c r="AF45" i="1" s="1"/>
  <c r="AI45" i="1" s="1"/>
  <c r="K44" i="1"/>
  <c r="N44" i="1" s="1"/>
  <c r="Q44" i="1" s="1"/>
  <c r="T44" i="1" s="1"/>
  <c r="W44" i="1" s="1"/>
  <c r="Z44" i="1" s="1"/>
  <c r="AC44" i="1" s="1"/>
  <c r="AF44" i="1" s="1"/>
  <c r="AI44" i="1" s="1"/>
  <c r="K43" i="1"/>
  <c r="N43" i="1" s="1"/>
  <c r="Q43" i="1" s="1"/>
  <c r="T43" i="1" s="1"/>
  <c r="W43" i="1" s="1"/>
  <c r="Z43" i="1" s="1"/>
  <c r="AC43" i="1" s="1"/>
  <c r="AF43" i="1" s="1"/>
  <c r="AI43" i="1" s="1"/>
  <c r="J46" i="1"/>
  <c r="M46" i="1" s="1"/>
  <c r="P46" i="1" s="1"/>
  <c r="S46" i="1" s="1"/>
  <c r="V46" i="1" s="1"/>
  <c r="Y46" i="1" s="1"/>
  <c r="AB46" i="1" s="1"/>
  <c r="AE46" i="1" s="1"/>
  <c r="AH46" i="1" s="1"/>
  <c r="J45" i="1"/>
  <c r="M45" i="1" s="1"/>
  <c r="P45" i="1" s="1"/>
  <c r="S45" i="1" s="1"/>
  <c r="V45" i="1" s="1"/>
  <c r="Y45" i="1" s="1"/>
  <c r="AB45" i="1" s="1"/>
  <c r="AE45" i="1" s="1"/>
  <c r="AH45" i="1" s="1"/>
  <c r="J44" i="1"/>
  <c r="M44" i="1" s="1"/>
  <c r="P44" i="1" s="1"/>
  <c r="S44" i="1" s="1"/>
  <c r="V44" i="1" s="1"/>
  <c r="Y44" i="1" s="1"/>
  <c r="AB44" i="1" s="1"/>
  <c r="AE44" i="1" s="1"/>
  <c r="AH44" i="1" s="1"/>
  <c r="J43" i="1"/>
  <c r="M43" i="1" s="1"/>
  <c r="P43" i="1" s="1"/>
  <c r="S43" i="1" s="1"/>
  <c r="V43" i="1" s="1"/>
  <c r="Y43" i="1" s="1"/>
  <c r="AB43" i="1" s="1"/>
  <c r="AE43" i="1" s="1"/>
  <c r="AH43" i="1" s="1"/>
  <c r="J42" i="1"/>
  <c r="M42" i="1" s="1"/>
  <c r="P42" i="1" s="1"/>
  <c r="S42" i="1" s="1"/>
  <c r="V42" i="1" s="1"/>
  <c r="Y42" i="1" s="1"/>
  <c r="AB42" i="1" s="1"/>
  <c r="AE42" i="1" s="1"/>
  <c r="AH42" i="1" s="1"/>
  <c r="J41" i="1"/>
  <c r="M41" i="1" s="1"/>
  <c r="P41" i="1" s="1"/>
  <c r="S41" i="1" s="1"/>
  <c r="V41" i="1" s="1"/>
  <c r="Y41" i="1" s="1"/>
  <c r="AB41" i="1" s="1"/>
  <c r="AE41" i="1" s="1"/>
  <c r="AH41" i="1" s="1"/>
  <c r="J40" i="1"/>
  <c r="M40" i="1" s="1"/>
  <c r="P40" i="1" s="1"/>
  <c r="S40" i="1" s="1"/>
  <c r="V40" i="1" s="1"/>
  <c r="Y40" i="1" s="1"/>
  <c r="AB40" i="1" s="1"/>
  <c r="AE40" i="1" s="1"/>
  <c r="AH40" i="1" s="1"/>
  <c r="K42" i="1"/>
  <c r="N42" i="1" s="1"/>
  <c r="Q42" i="1" s="1"/>
  <c r="T42" i="1" s="1"/>
  <c r="W42" i="1" s="1"/>
  <c r="Z42" i="1" s="1"/>
  <c r="AC42" i="1" s="1"/>
  <c r="AF42" i="1" s="1"/>
  <c r="AI42" i="1" s="1"/>
  <c r="K41" i="1"/>
  <c r="N41" i="1" s="1"/>
  <c r="Q41" i="1" s="1"/>
  <c r="T41" i="1" s="1"/>
  <c r="W41" i="1" s="1"/>
  <c r="Z41" i="1" s="1"/>
  <c r="AC41" i="1" s="1"/>
  <c r="AF41" i="1" s="1"/>
  <c r="AI41" i="1" s="1"/>
  <c r="K40" i="1"/>
  <c r="N40" i="1" s="1"/>
  <c r="Q40" i="1" s="1"/>
  <c r="T40" i="1" s="1"/>
  <c r="W40" i="1" s="1"/>
  <c r="Z40" i="1" s="1"/>
  <c r="AC40" i="1" s="1"/>
  <c r="AF40" i="1" s="1"/>
  <c r="AI40" i="1" s="1"/>
  <c r="L34" i="1"/>
  <c r="O34" i="1" s="1"/>
  <c r="R34" i="1" s="1"/>
  <c r="U34" i="1" s="1"/>
  <c r="X34" i="1" s="1"/>
  <c r="AA34" i="1" s="1"/>
  <c r="AD34" i="1" s="1"/>
  <c r="AG34" i="1" s="1"/>
  <c r="AJ34" i="1" s="1"/>
  <c r="K34" i="1"/>
  <c r="N34" i="1" s="1"/>
  <c r="Q34" i="1" s="1"/>
  <c r="T34" i="1" s="1"/>
  <c r="W34" i="1" s="1"/>
  <c r="Z34" i="1" s="1"/>
  <c r="AC34" i="1" s="1"/>
  <c r="AF34" i="1" s="1"/>
  <c r="AI34" i="1" s="1"/>
  <c r="J34" i="1"/>
  <c r="M34" i="1" s="1"/>
  <c r="P34" i="1" s="1"/>
  <c r="S34" i="1" s="1"/>
  <c r="V34" i="1" s="1"/>
  <c r="Y34" i="1" s="1"/>
  <c r="AB34" i="1" s="1"/>
  <c r="AE34" i="1" s="1"/>
  <c r="AH34" i="1" s="1"/>
  <c r="L33" i="1"/>
  <c r="O33" i="1" s="1"/>
  <c r="R33" i="1" s="1"/>
  <c r="U33" i="1" s="1"/>
  <c r="X33" i="1" s="1"/>
  <c r="AA33" i="1" s="1"/>
  <c r="AD33" i="1" s="1"/>
  <c r="AG33" i="1" s="1"/>
  <c r="AJ33" i="1" s="1"/>
  <c r="K33" i="1"/>
  <c r="N33" i="1" s="1"/>
  <c r="Q33" i="1" s="1"/>
  <c r="T33" i="1" s="1"/>
  <c r="W33" i="1" s="1"/>
  <c r="Z33" i="1" s="1"/>
  <c r="AC33" i="1" s="1"/>
  <c r="AF33" i="1" s="1"/>
  <c r="AI33" i="1" s="1"/>
  <c r="J33" i="1"/>
  <c r="M33" i="1" s="1"/>
  <c r="P33" i="1" s="1"/>
  <c r="S33" i="1" s="1"/>
  <c r="V33" i="1" s="1"/>
  <c r="Y33" i="1" s="1"/>
  <c r="AB33" i="1" s="1"/>
  <c r="AE33" i="1" s="1"/>
  <c r="AH33" i="1" s="1"/>
  <c r="L32" i="1"/>
  <c r="O32" i="1" s="1"/>
  <c r="R32" i="1" s="1"/>
  <c r="U32" i="1" s="1"/>
  <c r="X32" i="1" s="1"/>
  <c r="AA32" i="1" s="1"/>
  <c r="AD32" i="1" s="1"/>
  <c r="AG32" i="1" s="1"/>
  <c r="AJ32" i="1" s="1"/>
  <c r="K32" i="1"/>
  <c r="N32" i="1" s="1"/>
  <c r="Q32" i="1" s="1"/>
  <c r="T32" i="1" s="1"/>
  <c r="W32" i="1" s="1"/>
  <c r="Z32" i="1" s="1"/>
  <c r="AC32" i="1" s="1"/>
  <c r="AF32" i="1" s="1"/>
  <c r="AI32" i="1" s="1"/>
  <c r="J32" i="1"/>
  <c r="M32" i="1" s="1"/>
  <c r="P32" i="1" s="1"/>
  <c r="S32" i="1" s="1"/>
  <c r="V32" i="1" s="1"/>
  <c r="Y32" i="1" s="1"/>
  <c r="AB32" i="1" s="1"/>
  <c r="AE32" i="1" s="1"/>
  <c r="AH32" i="1" s="1"/>
  <c r="L31" i="1"/>
  <c r="O31" i="1" s="1"/>
  <c r="R31" i="1" s="1"/>
  <c r="U31" i="1" s="1"/>
  <c r="X31" i="1" s="1"/>
  <c r="AA31" i="1" s="1"/>
  <c r="AD31" i="1" s="1"/>
  <c r="AG31" i="1" s="1"/>
  <c r="AJ31" i="1" s="1"/>
  <c r="K31" i="1"/>
  <c r="N31" i="1" s="1"/>
  <c r="Q31" i="1" s="1"/>
  <c r="T31" i="1" s="1"/>
  <c r="W31" i="1" s="1"/>
  <c r="Z31" i="1" s="1"/>
  <c r="AC31" i="1" s="1"/>
  <c r="AF31" i="1" s="1"/>
  <c r="AI31" i="1" s="1"/>
  <c r="J31" i="1"/>
  <c r="M31" i="1" s="1"/>
  <c r="P31" i="1" s="1"/>
  <c r="S31" i="1" s="1"/>
  <c r="V31" i="1" s="1"/>
  <c r="Y31" i="1" s="1"/>
  <c r="AB31" i="1" s="1"/>
  <c r="AE31" i="1" s="1"/>
  <c r="AH31" i="1" s="1"/>
  <c r="L30" i="1"/>
  <c r="O30" i="1" s="1"/>
  <c r="R30" i="1" s="1"/>
  <c r="U30" i="1" s="1"/>
  <c r="X30" i="1" s="1"/>
  <c r="AA30" i="1" s="1"/>
  <c r="AD30" i="1" s="1"/>
  <c r="AG30" i="1" s="1"/>
  <c r="AJ30" i="1" s="1"/>
  <c r="K30" i="1"/>
  <c r="N30" i="1" s="1"/>
  <c r="Q30" i="1" s="1"/>
  <c r="T30" i="1" s="1"/>
  <c r="W30" i="1" s="1"/>
  <c r="Z30" i="1" s="1"/>
  <c r="AC30" i="1" s="1"/>
  <c r="AF30" i="1" s="1"/>
  <c r="AI30" i="1" s="1"/>
  <c r="J30" i="1"/>
  <c r="M30" i="1" s="1"/>
  <c r="P30" i="1" s="1"/>
  <c r="S30" i="1" s="1"/>
  <c r="V30" i="1" s="1"/>
  <c r="Y30" i="1" s="1"/>
  <c r="AB30" i="1" s="1"/>
  <c r="AE30" i="1" s="1"/>
  <c r="AH30" i="1" s="1"/>
  <c r="L29" i="1"/>
  <c r="R29" i="1" s="1"/>
  <c r="X29" i="1" s="1"/>
  <c r="AD29" i="1" s="1"/>
  <c r="AG29" i="1" s="1"/>
  <c r="AJ29" i="1" s="1"/>
  <c r="K29" i="1"/>
  <c r="N29" i="1" s="1"/>
  <c r="Q29" i="1" s="1"/>
  <c r="T29" i="1" s="1"/>
  <c r="W29" i="1" s="1"/>
  <c r="Z29" i="1" s="1"/>
  <c r="AC29" i="1" s="1"/>
  <c r="AF29" i="1" s="1"/>
  <c r="AI29" i="1" s="1"/>
  <c r="J29" i="1"/>
  <c r="M29" i="1" s="1"/>
  <c r="P29" i="1" s="1"/>
  <c r="S29" i="1" s="1"/>
  <c r="V29" i="1" s="1"/>
  <c r="Y29" i="1" s="1"/>
  <c r="AB29" i="1" s="1"/>
  <c r="AH29" i="1" s="1"/>
  <c r="L28" i="1"/>
  <c r="R28" i="1" s="1"/>
  <c r="X28" i="1" s="1"/>
  <c r="AD28" i="1" s="1"/>
  <c r="AG28" i="1" s="1"/>
  <c r="AJ28" i="1" s="1"/>
  <c r="K28" i="1"/>
  <c r="N28" i="1" s="1"/>
  <c r="Q28" i="1" s="1"/>
  <c r="T28" i="1" s="1"/>
  <c r="W28" i="1" s="1"/>
  <c r="Z28" i="1" s="1"/>
  <c r="AC28" i="1" s="1"/>
  <c r="AF28" i="1" s="1"/>
  <c r="AI28" i="1" s="1"/>
  <c r="J28" i="1"/>
  <c r="M28" i="1" s="1"/>
  <c r="P28" i="1" s="1"/>
  <c r="S28" i="1" s="1"/>
  <c r="V28" i="1" s="1"/>
  <c r="Y28" i="1" s="1"/>
  <c r="AB28" i="1" s="1"/>
  <c r="AH28" i="1" s="1"/>
  <c r="L27" i="1"/>
  <c r="R27" i="1" s="1"/>
  <c r="X27" i="1" s="1"/>
  <c r="AD27" i="1" s="1"/>
  <c r="AG27" i="1" s="1"/>
  <c r="AJ27" i="1" s="1"/>
  <c r="K27" i="1"/>
  <c r="N27" i="1" s="1"/>
  <c r="Q27" i="1" s="1"/>
  <c r="T27" i="1" s="1"/>
  <c r="W27" i="1" s="1"/>
  <c r="Z27" i="1" s="1"/>
  <c r="AC27" i="1" s="1"/>
  <c r="AF27" i="1" s="1"/>
  <c r="AI27" i="1" s="1"/>
  <c r="J27" i="1"/>
  <c r="M27" i="1" s="1"/>
  <c r="P27" i="1" s="1"/>
  <c r="S27" i="1" s="1"/>
  <c r="V27" i="1" s="1"/>
  <c r="Y27" i="1" s="1"/>
  <c r="AB27" i="1" s="1"/>
  <c r="AH27" i="1" s="1"/>
  <c r="L26" i="1"/>
  <c r="R26" i="1" s="1"/>
  <c r="X26" i="1" s="1"/>
  <c r="AD26" i="1" s="1"/>
  <c r="AJ26" i="1" s="1"/>
  <c r="K26" i="1"/>
  <c r="N26" i="1" s="1"/>
  <c r="Q26" i="1" s="1"/>
  <c r="T26" i="1" s="1"/>
  <c r="W26" i="1" s="1"/>
  <c r="Z26" i="1" s="1"/>
  <c r="AC26" i="1" s="1"/>
  <c r="AF26" i="1" s="1"/>
  <c r="AI26" i="1" s="1"/>
  <c r="J26" i="1"/>
  <c r="M26" i="1" s="1"/>
  <c r="P26" i="1" s="1"/>
  <c r="S26" i="1" s="1"/>
  <c r="V26" i="1" s="1"/>
  <c r="Y26" i="1" s="1"/>
  <c r="AB26" i="1" s="1"/>
  <c r="AE26" i="1" s="1"/>
  <c r="AH26" i="1" s="1"/>
  <c r="K25" i="1"/>
  <c r="N25" i="1" s="1"/>
  <c r="Q25" i="1" s="1"/>
  <c r="T25" i="1" s="1"/>
  <c r="W25" i="1" s="1"/>
  <c r="Z25" i="1" s="1"/>
  <c r="AC25" i="1" s="1"/>
  <c r="AF25" i="1" s="1"/>
  <c r="AI25" i="1" s="1"/>
  <c r="J25" i="1"/>
  <c r="M25" i="1" s="1"/>
  <c r="P25" i="1" s="1"/>
  <c r="S25" i="1" s="1"/>
  <c r="V25" i="1" s="1"/>
  <c r="Y25" i="1" s="1"/>
  <c r="AB25" i="1" s="1"/>
  <c r="AE25" i="1" s="1"/>
  <c r="AH25" i="1" s="1"/>
  <c r="L25" i="1"/>
  <c r="O25" i="1" s="1"/>
  <c r="R25" i="1" s="1"/>
  <c r="U25" i="1" s="1"/>
  <c r="X25" i="1" s="1"/>
  <c r="AA25" i="1" s="1"/>
  <c r="AD25" i="1" s="1"/>
  <c r="AG25" i="1" s="1"/>
  <c r="AJ25" i="1" s="1"/>
  <c r="AD22" i="1"/>
  <c r="AA22" i="1"/>
  <c r="X22" i="1"/>
  <c r="AJ22" i="1" s="1"/>
  <c r="U22" i="1"/>
  <c r="AG22" i="1" s="1"/>
  <c r="L20" i="1"/>
  <c r="O20" i="1" s="1"/>
  <c r="R20" i="1" s="1"/>
  <c r="U20" i="1" s="1"/>
  <c r="X20" i="1" s="1"/>
  <c r="AA20" i="1" s="1"/>
  <c r="AD20" i="1" s="1"/>
  <c r="AG20" i="1" s="1"/>
  <c r="AJ20" i="1" s="1"/>
  <c r="K22" i="1"/>
  <c r="N22" i="1" s="1"/>
  <c r="Q22" i="1" s="1"/>
  <c r="T22" i="1" s="1"/>
  <c r="W22" i="1" s="1"/>
  <c r="Z22" i="1" s="1"/>
  <c r="AC22" i="1" s="1"/>
  <c r="AF22" i="1" s="1"/>
  <c r="AI22" i="1" s="1"/>
  <c r="J22" i="1"/>
  <c r="M22" i="1" s="1"/>
  <c r="P22" i="1" s="1"/>
  <c r="S22" i="1" s="1"/>
  <c r="V22" i="1" s="1"/>
  <c r="Y22" i="1" s="1"/>
  <c r="AB22" i="1" s="1"/>
  <c r="AE22" i="1" s="1"/>
  <c r="AH22" i="1" s="1"/>
  <c r="K20" i="1"/>
  <c r="N20" i="1" s="1"/>
  <c r="Q20" i="1" s="1"/>
  <c r="T20" i="1" s="1"/>
  <c r="W20" i="1" s="1"/>
  <c r="Z20" i="1" s="1"/>
  <c r="AC20" i="1" s="1"/>
  <c r="AF20" i="1" s="1"/>
  <c r="AI20" i="1" s="1"/>
  <c r="J20" i="1"/>
  <c r="R19" i="1"/>
  <c r="X19" i="1" s="1"/>
  <c r="AD19" i="1" s="1"/>
  <c r="AJ19" i="1" s="1"/>
  <c r="O19" i="1"/>
  <c r="U19" i="1" s="1"/>
  <c r="AA19" i="1" s="1"/>
  <c r="AG19" i="1" s="1"/>
  <c r="K19" i="1"/>
  <c r="N19" i="1" s="1"/>
  <c r="Q19" i="1" s="1"/>
  <c r="T19" i="1" s="1"/>
  <c r="W19" i="1" s="1"/>
  <c r="Z19" i="1" s="1"/>
  <c r="AC19" i="1" s="1"/>
  <c r="AF19" i="1" s="1"/>
  <c r="AI19" i="1" s="1"/>
  <c r="J19" i="1"/>
  <c r="M19" i="1" s="1"/>
  <c r="P19" i="1" s="1"/>
  <c r="S19" i="1" s="1"/>
  <c r="V19" i="1" s="1"/>
  <c r="Y19" i="1" s="1"/>
  <c r="AB19" i="1" s="1"/>
  <c r="AE19" i="1" s="1"/>
  <c r="AH19" i="1" s="1"/>
  <c r="L18" i="1"/>
  <c r="O18" i="1" s="1"/>
  <c r="R18" i="1" s="1"/>
  <c r="U18" i="1" s="1"/>
  <c r="X18" i="1" s="1"/>
  <c r="AA18" i="1" s="1"/>
  <c r="AD18" i="1" s="1"/>
  <c r="AG18" i="1" s="1"/>
  <c r="AJ18" i="1" s="1"/>
  <c r="J17" i="1"/>
  <c r="M17" i="1" s="1"/>
  <c r="P17" i="1" s="1"/>
  <c r="S17" i="1" s="1"/>
  <c r="V17" i="1" s="1"/>
  <c r="Y17" i="1" s="1"/>
  <c r="AB17" i="1" s="1"/>
  <c r="AE17" i="1" s="1"/>
  <c r="AH17" i="1" s="1"/>
  <c r="K17" i="1"/>
  <c r="N17" i="1" s="1"/>
  <c r="Q17" i="1" s="1"/>
  <c r="T17" i="1" s="1"/>
  <c r="W17" i="1" s="1"/>
  <c r="Z17" i="1" s="1"/>
  <c r="AC17" i="1" s="1"/>
  <c r="AF17" i="1" s="1"/>
  <c r="AI17" i="1" s="1"/>
  <c r="L17" i="1"/>
  <c r="O17" i="1" s="1"/>
  <c r="R17" i="1" s="1"/>
  <c r="U17" i="1" s="1"/>
  <c r="X17" i="1" s="1"/>
  <c r="AA17" i="1" s="1"/>
  <c r="AD17" i="1" s="1"/>
  <c r="AG17" i="1" s="1"/>
  <c r="AJ17" i="1" s="1"/>
  <c r="AD12" i="1"/>
  <c r="R12" i="1"/>
  <c r="X12" i="1"/>
  <c r="AJ12" i="1" s="1"/>
  <c r="L14" i="1"/>
  <c r="O14" i="1" s="1"/>
  <c r="R14" i="1" s="1"/>
  <c r="X14" i="1" s="1"/>
  <c r="AA14" i="1" s="1"/>
  <c r="AD14" i="1" s="1"/>
  <c r="AJ14" i="1" s="1"/>
  <c r="K14" i="1"/>
  <c r="N14" i="1" s="1"/>
  <c r="Q14" i="1" s="1"/>
  <c r="T14" i="1" s="1"/>
  <c r="W14" i="1" s="1"/>
  <c r="Z14" i="1" s="1"/>
  <c r="AC14" i="1" s="1"/>
  <c r="AF14" i="1" s="1"/>
  <c r="AI14" i="1" s="1"/>
  <c r="J14" i="1"/>
  <c r="M14" i="1" s="1"/>
  <c r="P14" i="1" s="1"/>
  <c r="S14" i="1" s="1"/>
  <c r="V14" i="1" s="1"/>
  <c r="Y14" i="1" s="1"/>
  <c r="AB14" i="1" s="1"/>
  <c r="AE14" i="1" s="1"/>
  <c r="AH14" i="1" s="1"/>
  <c r="L12" i="1"/>
  <c r="K12" i="1"/>
  <c r="N12" i="1" s="1"/>
  <c r="Q12" i="1" s="1"/>
  <c r="T12" i="1" s="1"/>
  <c r="W12" i="1" s="1"/>
  <c r="Z12" i="1" s="1"/>
  <c r="AC12" i="1" s="1"/>
  <c r="AF12" i="1" s="1"/>
  <c r="AI12" i="1" s="1"/>
  <c r="J12" i="1"/>
  <c r="M12" i="1" s="1"/>
  <c r="P12" i="1" s="1"/>
  <c r="S12" i="1" s="1"/>
  <c r="V12" i="1" s="1"/>
  <c r="Y12" i="1" s="1"/>
  <c r="AB12" i="1" s="1"/>
  <c r="AE12" i="1" s="1"/>
  <c r="AH12" i="1" s="1"/>
  <c r="L11" i="1"/>
  <c r="O11" i="1" s="1"/>
  <c r="R11" i="1" s="1"/>
  <c r="X11" i="1" s="1"/>
  <c r="AA11" i="1" s="1"/>
  <c r="AD11" i="1" s="1"/>
  <c r="AJ11" i="1" s="1"/>
  <c r="K11" i="1"/>
  <c r="N11" i="1" s="1"/>
  <c r="Q11" i="1" s="1"/>
  <c r="T11" i="1" s="1"/>
  <c r="W11" i="1" s="1"/>
  <c r="Z11" i="1" s="1"/>
  <c r="AC11" i="1" s="1"/>
  <c r="AF11" i="1" s="1"/>
  <c r="AI11" i="1" s="1"/>
  <c r="J11" i="1"/>
  <c r="M11" i="1" s="1"/>
  <c r="P11" i="1" s="1"/>
  <c r="S11" i="1" s="1"/>
  <c r="V11" i="1" s="1"/>
  <c r="Y11" i="1" s="1"/>
  <c r="AB11" i="1" s="1"/>
  <c r="AE11" i="1" s="1"/>
  <c r="AH11" i="1" s="1"/>
  <c r="L13" i="1"/>
  <c r="O13" i="1" s="1"/>
  <c r="R13" i="1" s="1"/>
  <c r="U13" i="1" s="1"/>
  <c r="X13" i="1" s="1"/>
  <c r="AA13" i="1" s="1"/>
  <c r="AD13" i="1" s="1"/>
  <c r="AG13" i="1" s="1"/>
  <c r="AJ13" i="1" s="1"/>
  <c r="K13" i="1"/>
  <c r="N13" i="1" s="1"/>
  <c r="Q13" i="1" s="1"/>
  <c r="T13" i="1" s="1"/>
  <c r="W13" i="1" s="1"/>
  <c r="Z13" i="1" s="1"/>
  <c r="AC13" i="1" s="1"/>
  <c r="AF13" i="1" s="1"/>
  <c r="AI13" i="1" s="1"/>
  <c r="J13" i="1"/>
  <c r="M13" i="1" s="1"/>
  <c r="P13" i="1" s="1"/>
  <c r="S13" i="1" s="1"/>
  <c r="V13" i="1" s="1"/>
  <c r="Y13" i="1" s="1"/>
  <c r="AB13" i="1" s="1"/>
  <c r="AE13" i="1" s="1"/>
  <c r="AH13" i="1" s="1"/>
  <c r="L16" i="1"/>
  <c r="K16" i="1"/>
  <c r="N16" i="1" s="1"/>
  <c r="Q16" i="1" s="1"/>
  <c r="T16" i="1" s="1"/>
  <c r="W16" i="1" s="1"/>
  <c r="Z16" i="1" s="1"/>
  <c r="AC16" i="1" s="1"/>
  <c r="AF16" i="1" s="1"/>
  <c r="AI16" i="1" s="1"/>
  <c r="J16" i="1"/>
  <c r="M16" i="1" s="1"/>
  <c r="P16" i="1" s="1"/>
  <c r="S16" i="1" s="1"/>
  <c r="V16" i="1" s="1"/>
  <c r="Y16" i="1" s="1"/>
  <c r="AB16" i="1" s="1"/>
  <c r="AE16" i="1" s="1"/>
  <c r="AH16" i="1" s="1"/>
  <c r="L15" i="1"/>
  <c r="O15" i="1" s="1"/>
  <c r="R15" i="1" s="1"/>
  <c r="U15" i="1" s="1"/>
  <c r="X15" i="1" s="1"/>
  <c r="AA15" i="1" s="1"/>
  <c r="AD15" i="1" s="1"/>
  <c r="AG15" i="1" s="1"/>
  <c r="AJ15" i="1" s="1"/>
  <c r="K15" i="1"/>
  <c r="N15" i="1" s="1"/>
  <c r="Q15" i="1" s="1"/>
  <c r="T15" i="1" s="1"/>
  <c r="W15" i="1" s="1"/>
  <c r="Z15" i="1" s="1"/>
  <c r="AC15" i="1" s="1"/>
  <c r="AF15" i="1" s="1"/>
  <c r="AI15" i="1" s="1"/>
  <c r="J15" i="1"/>
  <c r="L10" i="1"/>
  <c r="O10" i="1" s="1"/>
  <c r="R10" i="1" s="1"/>
  <c r="U10" i="1" s="1"/>
  <c r="X10" i="1" s="1"/>
  <c r="AA10" i="1" s="1"/>
  <c r="AD10" i="1" s="1"/>
  <c r="AG10" i="1" s="1"/>
  <c r="AJ10" i="1" s="1"/>
  <c r="AD6" i="1"/>
  <c r="AA6" i="1"/>
  <c r="X6" i="1"/>
  <c r="AJ6" i="1" s="1"/>
  <c r="U6" i="1"/>
  <c r="AG6" i="1" s="1"/>
  <c r="R5" i="1"/>
  <c r="X5" i="1" s="1"/>
  <c r="AD5" i="1" s="1"/>
  <c r="AJ5" i="1" s="1"/>
  <c r="O5" i="1"/>
  <c r="U5" i="1" s="1"/>
  <c r="AA5" i="1" s="1"/>
  <c r="AG5" i="1" s="1"/>
  <c r="X7" i="1"/>
  <c r="AA7" i="1" s="1"/>
  <c r="AD7" i="1" s="1"/>
  <c r="AG7" i="1" s="1"/>
  <c r="AJ7" i="1" s="1"/>
  <c r="L7" i="1"/>
  <c r="O7" i="1" s="1"/>
  <c r="R7" i="1" s="1"/>
  <c r="L4" i="1"/>
  <c r="O4" i="1" s="1"/>
  <c r="R4" i="1" s="1"/>
  <c r="U4" i="1" s="1"/>
  <c r="X4" i="1" s="1"/>
  <c r="AA4" i="1" s="1"/>
  <c r="AD4" i="1" s="1"/>
  <c r="AG4" i="1" s="1"/>
  <c r="AJ4" i="1" s="1"/>
</calcChain>
</file>

<file path=xl/sharedStrings.xml><?xml version="1.0" encoding="utf-8"?>
<sst xmlns="http://schemas.openxmlformats.org/spreadsheetml/2006/main" count="637" uniqueCount="102">
  <si>
    <t>Day</t>
  </si>
  <si>
    <t>Monday</t>
  </si>
  <si>
    <t>Exercise Type</t>
  </si>
  <si>
    <t>Primary</t>
  </si>
  <si>
    <t>Ancillary</t>
  </si>
  <si>
    <t>Exercise</t>
  </si>
  <si>
    <t>Core</t>
  </si>
  <si>
    <t>Bench Press</t>
  </si>
  <si>
    <t>Reps</t>
  </si>
  <si>
    <t>Sets</t>
  </si>
  <si>
    <t>Dips</t>
  </si>
  <si>
    <t>DB Shoulder Press</t>
  </si>
  <si>
    <t>Decline Sit-ups</t>
  </si>
  <si>
    <t>Ab Roll out</t>
  </si>
  <si>
    <t>Tuesday</t>
  </si>
  <si>
    <t>Definition</t>
  </si>
  <si>
    <t>Lower Strength</t>
  </si>
  <si>
    <t>Wednesday</t>
  </si>
  <si>
    <t>Easy Run</t>
  </si>
  <si>
    <t>Thursday</t>
  </si>
  <si>
    <t>Push Strength</t>
  </si>
  <si>
    <t>Pull Strength</t>
  </si>
  <si>
    <t>Friday</t>
  </si>
  <si>
    <t>Saturday</t>
  </si>
  <si>
    <t>Sunday</t>
  </si>
  <si>
    <t>Run</t>
  </si>
  <si>
    <t>Hack Squat</t>
  </si>
  <si>
    <t>Potential Restrictions</t>
  </si>
  <si>
    <t>Definitely In the Office</t>
  </si>
  <si>
    <t>Usually in the Office</t>
  </si>
  <si>
    <t>Having other weekend plans</t>
  </si>
  <si>
    <t>Conditioning</t>
  </si>
  <si>
    <t>EMOM</t>
  </si>
  <si>
    <t>Weight (kg) / 
Distance (Km)</t>
  </si>
  <si>
    <t>Cardio</t>
  </si>
  <si>
    <t>Reverse Crunches</t>
  </si>
  <si>
    <t>Russian Twists</t>
  </si>
  <si>
    <t>Hip Thrusts</t>
  </si>
  <si>
    <t>Split Squat</t>
  </si>
  <si>
    <t>Leg Extensions</t>
  </si>
  <si>
    <t>Calf Raises</t>
  </si>
  <si>
    <t>Barbell Row</t>
  </si>
  <si>
    <t>Close Grip Incline Press</t>
  </si>
  <si>
    <t>Shrugs</t>
  </si>
  <si>
    <t>Chin ups</t>
  </si>
  <si>
    <t>EZ Preacher Curls</t>
  </si>
  <si>
    <t>Kettlebell swings</t>
  </si>
  <si>
    <t>Rowing</t>
  </si>
  <si>
    <t>Power Cleans</t>
  </si>
  <si>
    <t>Front Squats</t>
  </si>
  <si>
    <t>Thrusters</t>
  </si>
  <si>
    <t>Long Run</t>
  </si>
  <si>
    <t>Sit ups</t>
  </si>
  <si>
    <t>ab Wheel Rollouts</t>
  </si>
  <si>
    <t>300</t>
  </si>
  <si>
    <t>Pull Ups</t>
  </si>
  <si>
    <t>Push Ups</t>
  </si>
  <si>
    <t>Lunge Jump</t>
  </si>
  <si>
    <t>Floow Wiper</t>
  </si>
  <si>
    <t>KB Clean &amp; Press</t>
  </si>
  <si>
    <t>Goal</t>
  </si>
  <si>
    <t>Progression</t>
  </si>
  <si>
    <t>Recovery</t>
  </si>
  <si>
    <t>Aerobic Base</t>
  </si>
  <si>
    <t>Anaerobic</t>
  </si>
  <si>
    <t>Speed Run</t>
  </si>
  <si>
    <t>Cool Down</t>
  </si>
  <si>
    <t>Warm Up</t>
  </si>
  <si>
    <t>160+</t>
  </si>
  <si>
    <t>Reduce Time</t>
  </si>
  <si>
    <t>Engagement</t>
  </si>
  <si>
    <t>Support</t>
  </si>
  <si>
    <t>Core Endurance</t>
  </si>
  <si>
    <t>High Resistance Fitness</t>
  </si>
  <si>
    <t>Easy Volume</t>
  </si>
  <si>
    <t>Week -&gt;</t>
  </si>
  <si>
    <t>Optional</t>
  </si>
  <si>
    <t>Rear Delt Flys</t>
  </si>
  <si>
    <t>Best Average (500s)</t>
  </si>
  <si>
    <t>Best Average (30s on / 30s off)</t>
  </si>
  <si>
    <t>KB Swings</t>
  </si>
  <si>
    <t>Scoring</t>
  </si>
  <si>
    <t>Scoring metric</t>
  </si>
  <si>
    <t>RPE</t>
  </si>
  <si>
    <t>pace / HR</t>
  </si>
  <si>
    <t>Average</t>
  </si>
  <si>
    <t>1km splits</t>
  </si>
  <si>
    <t>Time</t>
  </si>
  <si>
    <t>Weight Average</t>
  </si>
  <si>
    <t>PE</t>
  </si>
  <si>
    <t>Weigh Time</t>
  </si>
  <si>
    <t>Date</t>
  </si>
  <si>
    <t>Week</t>
  </si>
  <si>
    <t>Modellled Weight Trend</t>
  </si>
  <si>
    <t>Weight Loss Goal</t>
  </si>
  <si>
    <t>7am</t>
  </si>
  <si>
    <t>Weight (KG)</t>
  </si>
  <si>
    <t>index</t>
  </si>
  <si>
    <t>y=ax^2+bx+c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</si>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</sst>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Dot">
        <color indexed="64"/>
      </right>
      <top style="thin">
        <color indexed="64"/>
      </top>
      <bottom style="thin">
        <color indexed="64"/>
      </bottom>
      <diagonal/>
    </border>
    <border>
      <left/>
      <right style="dashDot">
        <color indexed="64"/>
      </right>
      <top style="thin">
        <color indexed="64"/>
      </top>
      <bottom style="dotted">
        <color indexed="64"/>
      </bottom>
      <diagonal/>
    </border>
    <border>
      <left/>
      <right style="dashDot">
        <color indexed="64"/>
      </right>
      <top/>
      <bottom/>
      <diagonal/>
    </border>
    <border>
      <left/>
      <right style="dashDot">
        <color indexed="64"/>
      </right>
      <top/>
      <bottom style="dotted">
        <color indexed="64"/>
      </bottom>
      <diagonal/>
    </border>
    <border>
      <left/>
      <right style="dashDot">
        <color indexed="64"/>
      </right>
      <top/>
      <bottom style="thin">
        <color indexed="64"/>
      </bottom>
      <diagonal/>
    </border>
    <border>
      <left/>
      <right style="dashDot">
        <color indexed="64"/>
      </right>
      <top style="thin">
        <color indexed="64"/>
      </top>
      <bottom/>
      <diagonal/>
    </border>
    <border>
      <left/>
      <right style="dashDot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5" xfId="0" applyBorder="1"/>
    <xf numFmtId="0" fontId="0" fillId="0" borderId="4" xfId="0" applyBorder="1"/>
    <xf numFmtId="0" fontId="0" fillId="0" borderId="7" xfId="0" applyBorder="1"/>
    <xf numFmtId="0" fontId="0" fillId="0" borderId="6" xfId="0" applyBorder="1"/>
    <xf numFmtId="0" fontId="0" fillId="0" borderId="9" xfId="0" applyBorder="1"/>
    <xf numFmtId="0" fontId="0" fillId="0" borderId="8" xfId="0" applyBorder="1"/>
    <xf numFmtId="0" fontId="0" fillId="0" borderId="0" xfId="0" quotePrefix="1"/>
    <xf numFmtId="0" fontId="1" fillId="0" borderId="12" xfId="0" applyFont="1" applyBorder="1"/>
    <xf numFmtId="0" fontId="1" fillId="0" borderId="11" xfId="0" applyFont="1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1" fillId="0" borderId="18" xfId="0" applyFont="1" applyBorder="1"/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 Loss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Weight!$F$2</c:f>
              <c:strCache>
                <c:ptCount val="1"/>
                <c:pt idx="0">
                  <c:v>Weight Loss Goal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Weight!$C$3:$C$72</c:f>
              <c:numCache>
                <c:formatCode>m/d/yyyy</c:formatCode>
                <c:ptCount val="70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  <c:pt idx="9">
                  <c:v>46085</c:v>
                </c:pt>
                <c:pt idx="10">
                  <c:v>46086</c:v>
                </c:pt>
                <c:pt idx="11">
                  <c:v>46087</c:v>
                </c:pt>
                <c:pt idx="12">
                  <c:v>46088</c:v>
                </c:pt>
                <c:pt idx="13">
                  <c:v>46089</c:v>
                </c:pt>
                <c:pt idx="14">
                  <c:v>46090</c:v>
                </c:pt>
                <c:pt idx="15">
                  <c:v>46091</c:v>
                </c:pt>
                <c:pt idx="16">
                  <c:v>46092</c:v>
                </c:pt>
                <c:pt idx="17">
                  <c:v>46093</c:v>
                </c:pt>
                <c:pt idx="18">
                  <c:v>46094</c:v>
                </c:pt>
                <c:pt idx="19">
                  <c:v>46095</c:v>
                </c:pt>
                <c:pt idx="20">
                  <c:v>46096</c:v>
                </c:pt>
                <c:pt idx="21">
                  <c:v>46097</c:v>
                </c:pt>
                <c:pt idx="22">
                  <c:v>46098</c:v>
                </c:pt>
                <c:pt idx="23">
                  <c:v>46099</c:v>
                </c:pt>
                <c:pt idx="24">
                  <c:v>46100</c:v>
                </c:pt>
                <c:pt idx="25">
                  <c:v>46101</c:v>
                </c:pt>
                <c:pt idx="26">
                  <c:v>46102</c:v>
                </c:pt>
                <c:pt idx="27">
                  <c:v>46103</c:v>
                </c:pt>
                <c:pt idx="28">
                  <c:v>46104</c:v>
                </c:pt>
                <c:pt idx="29">
                  <c:v>46105</c:v>
                </c:pt>
                <c:pt idx="30">
                  <c:v>46106</c:v>
                </c:pt>
                <c:pt idx="31">
                  <c:v>46107</c:v>
                </c:pt>
                <c:pt idx="32">
                  <c:v>46108</c:v>
                </c:pt>
                <c:pt idx="33">
                  <c:v>46109</c:v>
                </c:pt>
                <c:pt idx="34">
                  <c:v>46110</c:v>
                </c:pt>
                <c:pt idx="35">
                  <c:v>46111</c:v>
                </c:pt>
                <c:pt idx="36">
                  <c:v>46112</c:v>
                </c:pt>
                <c:pt idx="37">
                  <c:v>46113</c:v>
                </c:pt>
                <c:pt idx="38">
                  <c:v>46114</c:v>
                </c:pt>
                <c:pt idx="39">
                  <c:v>46115</c:v>
                </c:pt>
                <c:pt idx="40">
                  <c:v>46116</c:v>
                </c:pt>
                <c:pt idx="41">
                  <c:v>46117</c:v>
                </c:pt>
                <c:pt idx="42">
                  <c:v>46118</c:v>
                </c:pt>
                <c:pt idx="43">
                  <c:v>46119</c:v>
                </c:pt>
                <c:pt idx="44">
                  <c:v>46120</c:v>
                </c:pt>
                <c:pt idx="45">
                  <c:v>46121</c:v>
                </c:pt>
                <c:pt idx="46">
                  <c:v>46122</c:v>
                </c:pt>
                <c:pt idx="47">
                  <c:v>46123</c:v>
                </c:pt>
                <c:pt idx="48">
                  <c:v>46124</c:v>
                </c:pt>
                <c:pt idx="49">
                  <c:v>46125</c:v>
                </c:pt>
                <c:pt idx="50">
                  <c:v>46126</c:v>
                </c:pt>
                <c:pt idx="51">
                  <c:v>46127</c:v>
                </c:pt>
                <c:pt idx="52">
                  <c:v>46128</c:v>
                </c:pt>
                <c:pt idx="53">
                  <c:v>46129</c:v>
                </c:pt>
                <c:pt idx="54">
                  <c:v>46130</c:v>
                </c:pt>
                <c:pt idx="55">
                  <c:v>46131</c:v>
                </c:pt>
                <c:pt idx="56">
                  <c:v>46132</c:v>
                </c:pt>
                <c:pt idx="57">
                  <c:v>46133</c:v>
                </c:pt>
                <c:pt idx="58">
                  <c:v>46134</c:v>
                </c:pt>
                <c:pt idx="59">
                  <c:v>46135</c:v>
                </c:pt>
                <c:pt idx="60">
                  <c:v>46136</c:v>
                </c:pt>
                <c:pt idx="61">
                  <c:v>46137</c:v>
                </c:pt>
                <c:pt idx="62">
                  <c:v>46138</c:v>
                </c:pt>
                <c:pt idx="63">
                  <c:v>46139</c:v>
                </c:pt>
                <c:pt idx="64">
                  <c:v>46140</c:v>
                </c:pt>
                <c:pt idx="65">
                  <c:v>46141</c:v>
                </c:pt>
                <c:pt idx="66">
                  <c:v>46142</c:v>
                </c:pt>
                <c:pt idx="67">
                  <c:v>46143</c:v>
                </c:pt>
                <c:pt idx="68">
                  <c:v>46144</c:v>
                </c:pt>
                <c:pt idx="69">
                  <c:v>46145</c:v>
                </c:pt>
              </c:numCache>
            </c:numRef>
          </c:cat>
          <c:val>
            <c:numRef>
              <c:f>Weight!$F$3:$F$72</c:f>
              <c:numCache>
                <c:formatCode>0.0</c:formatCode>
                <c:ptCount val="70"/>
                <c:pt idx="0">
                  <c:v>96</c:v>
                </c:pt>
                <c:pt idx="1">
                  <c:v>95.892857142857139</c:v>
                </c:pt>
                <c:pt idx="2">
                  <c:v>95.785714285714278</c:v>
                </c:pt>
                <c:pt idx="3">
                  <c:v>95.678571428571416</c:v>
                </c:pt>
                <c:pt idx="4">
                  <c:v>95.571428571428555</c:v>
                </c:pt>
                <c:pt idx="5">
                  <c:v>95.464285714285694</c:v>
                </c:pt>
                <c:pt idx="6">
                  <c:v>95.357142857142833</c:v>
                </c:pt>
                <c:pt idx="7">
                  <c:v>95.249999999999972</c:v>
                </c:pt>
                <c:pt idx="8">
                  <c:v>95.14285714285711</c:v>
                </c:pt>
                <c:pt idx="9">
                  <c:v>95.035714285714249</c:v>
                </c:pt>
                <c:pt idx="10">
                  <c:v>94.928571428571388</c:v>
                </c:pt>
                <c:pt idx="11">
                  <c:v>94.821428571428527</c:v>
                </c:pt>
                <c:pt idx="12">
                  <c:v>94.714285714285666</c:v>
                </c:pt>
                <c:pt idx="13">
                  <c:v>94.607142857142804</c:v>
                </c:pt>
                <c:pt idx="14">
                  <c:v>94.499999999999943</c:v>
                </c:pt>
                <c:pt idx="15">
                  <c:v>94.392857142857082</c:v>
                </c:pt>
                <c:pt idx="16">
                  <c:v>94.285714285714221</c:v>
                </c:pt>
                <c:pt idx="17">
                  <c:v>94.17857142857136</c:v>
                </c:pt>
                <c:pt idx="18">
                  <c:v>94.071428571428498</c:v>
                </c:pt>
                <c:pt idx="19">
                  <c:v>93.964285714285637</c:v>
                </c:pt>
                <c:pt idx="20">
                  <c:v>93.857142857142776</c:v>
                </c:pt>
                <c:pt idx="21">
                  <c:v>93.749999999999915</c:v>
                </c:pt>
                <c:pt idx="22">
                  <c:v>93.642857142857054</c:v>
                </c:pt>
                <c:pt idx="23">
                  <c:v>93.535714285714192</c:v>
                </c:pt>
                <c:pt idx="24">
                  <c:v>93.428571428571331</c:v>
                </c:pt>
                <c:pt idx="25">
                  <c:v>93.32142857142847</c:v>
                </c:pt>
                <c:pt idx="26">
                  <c:v>93.214285714285609</c:v>
                </c:pt>
                <c:pt idx="27">
                  <c:v>93.107142857142748</c:v>
                </c:pt>
                <c:pt idx="28">
                  <c:v>92.999999999999886</c:v>
                </c:pt>
                <c:pt idx="29">
                  <c:v>92.892857142857025</c:v>
                </c:pt>
                <c:pt idx="30">
                  <c:v>92.785714285714164</c:v>
                </c:pt>
                <c:pt idx="31">
                  <c:v>92.678571428571303</c:v>
                </c:pt>
                <c:pt idx="32">
                  <c:v>92.571428571428442</c:v>
                </c:pt>
                <c:pt idx="33">
                  <c:v>92.46428571428558</c:v>
                </c:pt>
                <c:pt idx="34">
                  <c:v>92.357142857142719</c:v>
                </c:pt>
                <c:pt idx="35">
                  <c:v>92.249999999999858</c:v>
                </c:pt>
                <c:pt idx="36">
                  <c:v>92.142857142856997</c:v>
                </c:pt>
                <c:pt idx="37">
                  <c:v>92.035714285714135</c:v>
                </c:pt>
                <c:pt idx="38">
                  <c:v>91.928571428571274</c:v>
                </c:pt>
                <c:pt idx="39">
                  <c:v>91.821428571428413</c:v>
                </c:pt>
                <c:pt idx="40">
                  <c:v>91.714285714285552</c:v>
                </c:pt>
                <c:pt idx="41">
                  <c:v>91.607142857142691</c:v>
                </c:pt>
                <c:pt idx="42">
                  <c:v>91.499999999999829</c:v>
                </c:pt>
                <c:pt idx="43">
                  <c:v>91.392857142856968</c:v>
                </c:pt>
                <c:pt idx="44">
                  <c:v>91.285714285714107</c:v>
                </c:pt>
                <c:pt idx="45">
                  <c:v>91.178571428571246</c:v>
                </c:pt>
                <c:pt idx="46">
                  <c:v>91.071428571428385</c:v>
                </c:pt>
                <c:pt idx="47">
                  <c:v>90.964285714285523</c:v>
                </c:pt>
                <c:pt idx="48">
                  <c:v>90.857142857142662</c:v>
                </c:pt>
                <c:pt idx="49">
                  <c:v>90.749999999999801</c:v>
                </c:pt>
                <c:pt idx="50">
                  <c:v>90.64285714285694</c:v>
                </c:pt>
                <c:pt idx="51">
                  <c:v>90.535714285714079</c:v>
                </c:pt>
                <c:pt idx="52">
                  <c:v>90.428571428571217</c:v>
                </c:pt>
                <c:pt idx="53">
                  <c:v>90.321428571428356</c:v>
                </c:pt>
                <c:pt idx="54">
                  <c:v>90.214285714285495</c:v>
                </c:pt>
                <c:pt idx="55">
                  <c:v>90.107142857142634</c:v>
                </c:pt>
                <c:pt idx="56">
                  <c:v>89.999999999999773</c:v>
                </c:pt>
                <c:pt idx="57">
                  <c:v>89.892857142856911</c:v>
                </c:pt>
                <c:pt idx="58">
                  <c:v>89.78571428571405</c:v>
                </c:pt>
                <c:pt idx="59">
                  <c:v>89.678571428571189</c:v>
                </c:pt>
                <c:pt idx="60">
                  <c:v>89.571428571428328</c:v>
                </c:pt>
                <c:pt idx="61">
                  <c:v>89.464285714285467</c:v>
                </c:pt>
                <c:pt idx="62">
                  <c:v>89.357142857142605</c:v>
                </c:pt>
                <c:pt idx="63">
                  <c:v>89.249999999999744</c:v>
                </c:pt>
                <c:pt idx="64">
                  <c:v>89.142857142856883</c:v>
                </c:pt>
                <c:pt idx="65">
                  <c:v>89.035714285714022</c:v>
                </c:pt>
                <c:pt idx="66">
                  <c:v>88.928571428571161</c:v>
                </c:pt>
                <c:pt idx="67">
                  <c:v>88.821428571428299</c:v>
                </c:pt>
                <c:pt idx="68">
                  <c:v>88.714285714285438</c:v>
                </c:pt>
                <c:pt idx="69">
                  <c:v>88.607142857142577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77-41B8-AFF1-BA1EC960E63E}"/>
            </c:ext>
          </c:extLst>
        </c:ser>
        <c:ser>
          <c:idx val="2"/>
          <c:order val="2"/>
          <c:tx>
            <c:strRef>
              <c:f>Weight!$G$2</c:f>
              <c:strCache>
                <c:ptCount val="1"/>
                <c:pt idx="0">
                  <c:v>Modellled Weight Trend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Weight!$C$3:$C$72</c:f>
              <c:numCache>
                <c:formatCode>m/d/yyyy</c:formatCode>
                <c:ptCount val="70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  <c:pt idx="9">
                  <c:v>46085</c:v>
                </c:pt>
                <c:pt idx="10">
                  <c:v>46086</c:v>
                </c:pt>
                <c:pt idx="11">
                  <c:v>46087</c:v>
                </c:pt>
                <c:pt idx="12">
                  <c:v>46088</c:v>
                </c:pt>
                <c:pt idx="13">
                  <c:v>46089</c:v>
                </c:pt>
                <c:pt idx="14">
                  <c:v>46090</c:v>
                </c:pt>
                <c:pt idx="15">
                  <c:v>46091</c:v>
                </c:pt>
                <c:pt idx="16">
                  <c:v>46092</c:v>
                </c:pt>
                <c:pt idx="17">
                  <c:v>46093</c:v>
                </c:pt>
                <c:pt idx="18">
                  <c:v>46094</c:v>
                </c:pt>
                <c:pt idx="19">
                  <c:v>46095</c:v>
                </c:pt>
                <c:pt idx="20">
                  <c:v>46096</c:v>
                </c:pt>
                <c:pt idx="21">
                  <c:v>46097</c:v>
                </c:pt>
                <c:pt idx="22">
                  <c:v>46098</c:v>
                </c:pt>
                <c:pt idx="23">
                  <c:v>46099</c:v>
                </c:pt>
                <c:pt idx="24">
                  <c:v>46100</c:v>
                </c:pt>
                <c:pt idx="25">
                  <c:v>46101</c:v>
                </c:pt>
                <c:pt idx="26">
                  <c:v>46102</c:v>
                </c:pt>
                <c:pt idx="27">
                  <c:v>46103</c:v>
                </c:pt>
                <c:pt idx="28">
                  <c:v>46104</c:v>
                </c:pt>
                <c:pt idx="29">
                  <c:v>46105</c:v>
                </c:pt>
                <c:pt idx="30">
                  <c:v>46106</c:v>
                </c:pt>
                <c:pt idx="31">
                  <c:v>46107</c:v>
                </c:pt>
                <c:pt idx="32">
                  <c:v>46108</c:v>
                </c:pt>
                <c:pt idx="33">
                  <c:v>46109</c:v>
                </c:pt>
                <c:pt idx="34">
                  <c:v>46110</c:v>
                </c:pt>
                <c:pt idx="35">
                  <c:v>46111</c:v>
                </c:pt>
                <c:pt idx="36">
                  <c:v>46112</c:v>
                </c:pt>
                <c:pt idx="37">
                  <c:v>46113</c:v>
                </c:pt>
                <c:pt idx="38">
                  <c:v>46114</c:v>
                </c:pt>
                <c:pt idx="39">
                  <c:v>46115</c:v>
                </c:pt>
                <c:pt idx="40">
                  <c:v>46116</c:v>
                </c:pt>
                <c:pt idx="41">
                  <c:v>46117</c:v>
                </c:pt>
                <c:pt idx="42">
                  <c:v>46118</c:v>
                </c:pt>
                <c:pt idx="43">
                  <c:v>46119</c:v>
                </c:pt>
                <c:pt idx="44">
                  <c:v>46120</c:v>
                </c:pt>
                <c:pt idx="45">
                  <c:v>46121</c:v>
                </c:pt>
                <c:pt idx="46">
                  <c:v>46122</c:v>
                </c:pt>
                <c:pt idx="47">
                  <c:v>46123</c:v>
                </c:pt>
                <c:pt idx="48">
                  <c:v>46124</c:v>
                </c:pt>
                <c:pt idx="49">
                  <c:v>46125</c:v>
                </c:pt>
                <c:pt idx="50">
                  <c:v>46126</c:v>
                </c:pt>
                <c:pt idx="51">
                  <c:v>46127</c:v>
                </c:pt>
                <c:pt idx="52">
                  <c:v>46128</c:v>
                </c:pt>
                <c:pt idx="53">
                  <c:v>46129</c:v>
                </c:pt>
                <c:pt idx="54">
                  <c:v>46130</c:v>
                </c:pt>
                <c:pt idx="55">
                  <c:v>46131</c:v>
                </c:pt>
                <c:pt idx="56">
                  <c:v>46132</c:v>
                </c:pt>
                <c:pt idx="57">
                  <c:v>46133</c:v>
                </c:pt>
                <c:pt idx="58">
                  <c:v>46134</c:v>
                </c:pt>
                <c:pt idx="59">
                  <c:v>46135</c:v>
                </c:pt>
                <c:pt idx="60">
                  <c:v>46136</c:v>
                </c:pt>
                <c:pt idx="61">
                  <c:v>46137</c:v>
                </c:pt>
                <c:pt idx="62">
                  <c:v>46138</c:v>
                </c:pt>
                <c:pt idx="63">
                  <c:v>46139</c:v>
                </c:pt>
                <c:pt idx="64">
                  <c:v>46140</c:v>
                </c:pt>
                <c:pt idx="65">
                  <c:v>46141</c:v>
                </c:pt>
                <c:pt idx="66">
                  <c:v>46142</c:v>
                </c:pt>
                <c:pt idx="67">
                  <c:v>46143</c:v>
                </c:pt>
                <c:pt idx="68">
                  <c:v>46144</c:v>
                </c:pt>
                <c:pt idx="69">
                  <c:v>46145</c:v>
                </c:pt>
              </c:numCache>
            </c:numRef>
          </c:cat>
          <c:val>
            <c:numRef>
              <c:f>Weight!$G$3:$G$72</c:f>
              <c:numCache>
                <c:formatCode>0.0</c:formatCode>
                <c:ptCount val="70"/>
                <c:pt idx="0">
                  <c:v>96</c:v>
                </c:pt>
                <c:pt idx="1">
                  <c:v>95.892857142857139</c:v>
                </c:pt>
                <c:pt idx="2">
                  <c:v>95.785714285714292</c:v>
                </c:pt>
                <c:pt idx="3">
                  <c:v>95.678571428571431</c:v>
                </c:pt>
                <c:pt idx="4">
                  <c:v>95.571428571428569</c:v>
                </c:pt>
                <c:pt idx="5">
                  <c:v>95.464285714285708</c:v>
                </c:pt>
                <c:pt idx="6">
                  <c:v>95.357142857142861</c:v>
                </c:pt>
                <c:pt idx="7">
                  <c:v>95.25</c:v>
                </c:pt>
                <c:pt idx="8">
                  <c:v>95.142857142857139</c:v>
                </c:pt>
                <c:pt idx="9">
                  <c:v>95.035714285714292</c:v>
                </c:pt>
                <c:pt idx="10">
                  <c:v>94.928571428571431</c:v>
                </c:pt>
                <c:pt idx="11">
                  <c:v>94.821428571428569</c:v>
                </c:pt>
                <c:pt idx="12">
                  <c:v>94.714285714285708</c:v>
                </c:pt>
                <c:pt idx="13">
                  <c:v>94.607142857142861</c:v>
                </c:pt>
                <c:pt idx="14">
                  <c:v>94.5</c:v>
                </c:pt>
                <c:pt idx="15">
                  <c:v>94.392857142857139</c:v>
                </c:pt>
                <c:pt idx="16">
                  <c:v>94.285714285714292</c:v>
                </c:pt>
                <c:pt idx="17">
                  <c:v>94.178571428571431</c:v>
                </c:pt>
                <c:pt idx="18">
                  <c:v>94.071428571428569</c:v>
                </c:pt>
                <c:pt idx="19">
                  <c:v>93.964285714285708</c:v>
                </c:pt>
                <c:pt idx="20">
                  <c:v>93.857142857142861</c:v>
                </c:pt>
                <c:pt idx="21">
                  <c:v>93.75</c:v>
                </c:pt>
                <c:pt idx="22">
                  <c:v>93.642857142857139</c:v>
                </c:pt>
                <c:pt idx="23">
                  <c:v>93.535714285714292</c:v>
                </c:pt>
                <c:pt idx="24">
                  <c:v>93.428571428571431</c:v>
                </c:pt>
                <c:pt idx="25">
                  <c:v>93.321428571428569</c:v>
                </c:pt>
                <c:pt idx="26">
                  <c:v>93.214285714285708</c:v>
                </c:pt>
                <c:pt idx="27">
                  <c:v>93.107142857142861</c:v>
                </c:pt>
                <c:pt idx="28">
                  <c:v>93</c:v>
                </c:pt>
                <c:pt idx="29">
                  <c:v>92.892857142857139</c:v>
                </c:pt>
                <c:pt idx="30">
                  <c:v>92.785714285714292</c:v>
                </c:pt>
                <c:pt idx="31">
                  <c:v>92.678571428571431</c:v>
                </c:pt>
                <c:pt idx="32">
                  <c:v>92.571428571428569</c:v>
                </c:pt>
                <c:pt idx="33">
                  <c:v>92.464285714285708</c:v>
                </c:pt>
                <c:pt idx="34">
                  <c:v>92.357142857142861</c:v>
                </c:pt>
                <c:pt idx="35">
                  <c:v>92.25</c:v>
                </c:pt>
                <c:pt idx="36">
                  <c:v>92.142857142857139</c:v>
                </c:pt>
                <c:pt idx="37">
                  <c:v>92.035714285714292</c:v>
                </c:pt>
                <c:pt idx="38">
                  <c:v>91.928571428571431</c:v>
                </c:pt>
                <c:pt idx="39">
                  <c:v>91.821428571428569</c:v>
                </c:pt>
                <c:pt idx="40">
                  <c:v>91.714285714285708</c:v>
                </c:pt>
                <c:pt idx="41">
                  <c:v>91.607142857142861</c:v>
                </c:pt>
                <c:pt idx="42">
                  <c:v>91.5</c:v>
                </c:pt>
                <c:pt idx="43">
                  <c:v>91.392857142857139</c:v>
                </c:pt>
                <c:pt idx="44">
                  <c:v>91.285714285714292</c:v>
                </c:pt>
                <c:pt idx="45">
                  <c:v>91.178571428571431</c:v>
                </c:pt>
                <c:pt idx="46">
                  <c:v>91.071428571428569</c:v>
                </c:pt>
                <c:pt idx="47">
                  <c:v>90.964285714285708</c:v>
                </c:pt>
                <c:pt idx="48">
                  <c:v>90.857142857142861</c:v>
                </c:pt>
                <c:pt idx="49">
                  <c:v>90.75</c:v>
                </c:pt>
                <c:pt idx="50">
                  <c:v>90.642857142857139</c:v>
                </c:pt>
                <c:pt idx="51">
                  <c:v>90.535714285714292</c:v>
                </c:pt>
                <c:pt idx="52">
                  <c:v>90.428571428571431</c:v>
                </c:pt>
                <c:pt idx="53">
                  <c:v>90.321428571428569</c:v>
                </c:pt>
                <c:pt idx="54">
                  <c:v>90.214285714285708</c:v>
                </c:pt>
                <c:pt idx="55">
                  <c:v>90.107142857142861</c:v>
                </c:pt>
                <c:pt idx="56">
                  <c:v>90</c:v>
                </c:pt>
                <c:pt idx="57">
                  <c:v>89.892857142857139</c:v>
                </c:pt>
                <c:pt idx="58">
                  <c:v>89.785714285714292</c:v>
                </c:pt>
                <c:pt idx="59">
                  <c:v>89.678571428571431</c:v>
                </c:pt>
                <c:pt idx="60">
                  <c:v>89.571428571428569</c:v>
                </c:pt>
                <c:pt idx="61">
                  <c:v>89.464285714285708</c:v>
                </c:pt>
                <c:pt idx="62">
                  <c:v>89.357142857142861</c:v>
                </c:pt>
                <c:pt idx="63">
                  <c:v>89.25</c:v>
                </c:pt>
                <c:pt idx="64">
                  <c:v>89.142857142857139</c:v>
                </c:pt>
                <c:pt idx="65">
                  <c:v>89.035714285714292</c:v>
                </c:pt>
                <c:pt idx="66">
                  <c:v>88.928571428571431</c:v>
                </c:pt>
                <c:pt idx="67">
                  <c:v>88.821428571428569</c:v>
                </c:pt>
                <c:pt idx="68">
                  <c:v>88.714285714285708</c:v>
                </c:pt>
                <c:pt idx="69">
                  <c:v>88.607142857142861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77-41B8-AFF1-BA1EC960E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5890896"/>
        <c:axId val="1655881776"/>
      </c:lineChart>
      <c:scatterChart>
        <c:scatterStyle val="lineMarker"/>
        <c:varyColors val="0"/>
        <c:ser>
          <c:idx val="0"/>
          <c:order val="0"/>
          <c:tx>
            <c:strRef>
              <c:f>Weight!$E$2</c:f>
              <c:strCache>
                <c:ptCount val="1"/>
                <c:pt idx="0">
                  <c:v>Weight (KG)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Weight!$C$3:$C$72</c:f>
              <c:numCache>
                <c:formatCode>m/d/yyyy</c:formatCode>
                <c:ptCount val="70"/>
                <c:pt idx="0">
                  <c:v>46076</c:v>
                </c:pt>
                <c:pt idx="1">
                  <c:v>46077</c:v>
                </c:pt>
                <c:pt idx="2">
                  <c:v>46078</c:v>
                </c:pt>
                <c:pt idx="3">
                  <c:v>46079</c:v>
                </c:pt>
                <c:pt idx="4">
                  <c:v>46080</c:v>
                </c:pt>
                <c:pt idx="5">
                  <c:v>46081</c:v>
                </c:pt>
                <c:pt idx="6">
                  <c:v>46082</c:v>
                </c:pt>
                <c:pt idx="7">
                  <c:v>46083</c:v>
                </c:pt>
                <c:pt idx="8">
                  <c:v>46084</c:v>
                </c:pt>
                <c:pt idx="9">
                  <c:v>46085</c:v>
                </c:pt>
                <c:pt idx="10">
                  <c:v>46086</c:v>
                </c:pt>
                <c:pt idx="11">
                  <c:v>46087</c:v>
                </c:pt>
                <c:pt idx="12">
                  <c:v>46088</c:v>
                </c:pt>
                <c:pt idx="13">
                  <c:v>46089</c:v>
                </c:pt>
                <c:pt idx="14">
                  <c:v>46090</c:v>
                </c:pt>
                <c:pt idx="15">
                  <c:v>46091</c:v>
                </c:pt>
                <c:pt idx="16">
                  <c:v>46092</c:v>
                </c:pt>
                <c:pt idx="17">
                  <c:v>46093</c:v>
                </c:pt>
                <c:pt idx="18">
                  <c:v>46094</c:v>
                </c:pt>
                <c:pt idx="19">
                  <c:v>46095</c:v>
                </c:pt>
                <c:pt idx="20">
                  <c:v>46096</c:v>
                </c:pt>
                <c:pt idx="21">
                  <c:v>46097</c:v>
                </c:pt>
                <c:pt idx="22">
                  <c:v>46098</c:v>
                </c:pt>
                <c:pt idx="23">
                  <c:v>46099</c:v>
                </c:pt>
                <c:pt idx="24">
                  <c:v>46100</c:v>
                </c:pt>
                <c:pt idx="25">
                  <c:v>46101</c:v>
                </c:pt>
                <c:pt idx="26">
                  <c:v>46102</c:v>
                </c:pt>
                <c:pt idx="27">
                  <c:v>46103</c:v>
                </c:pt>
                <c:pt idx="28">
                  <c:v>46104</c:v>
                </c:pt>
                <c:pt idx="29">
                  <c:v>46105</c:v>
                </c:pt>
                <c:pt idx="30">
                  <c:v>46106</c:v>
                </c:pt>
                <c:pt idx="31">
                  <c:v>46107</c:v>
                </c:pt>
                <c:pt idx="32">
                  <c:v>46108</c:v>
                </c:pt>
                <c:pt idx="33">
                  <c:v>46109</c:v>
                </c:pt>
                <c:pt idx="34">
                  <c:v>46110</c:v>
                </c:pt>
                <c:pt idx="35">
                  <c:v>46111</c:v>
                </c:pt>
                <c:pt idx="36">
                  <c:v>46112</c:v>
                </c:pt>
                <c:pt idx="37">
                  <c:v>46113</c:v>
                </c:pt>
                <c:pt idx="38">
                  <c:v>46114</c:v>
                </c:pt>
                <c:pt idx="39">
                  <c:v>46115</c:v>
                </c:pt>
                <c:pt idx="40">
                  <c:v>46116</c:v>
                </c:pt>
                <c:pt idx="41">
                  <c:v>46117</c:v>
                </c:pt>
                <c:pt idx="42">
                  <c:v>46118</c:v>
                </c:pt>
                <c:pt idx="43">
                  <c:v>46119</c:v>
                </c:pt>
                <c:pt idx="44">
                  <c:v>46120</c:v>
                </c:pt>
                <c:pt idx="45">
                  <c:v>46121</c:v>
                </c:pt>
                <c:pt idx="46">
                  <c:v>46122</c:v>
                </c:pt>
                <c:pt idx="47">
                  <c:v>46123</c:v>
                </c:pt>
                <c:pt idx="48">
                  <c:v>46124</c:v>
                </c:pt>
                <c:pt idx="49">
                  <c:v>46125</c:v>
                </c:pt>
                <c:pt idx="50">
                  <c:v>46126</c:v>
                </c:pt>
                <c:pt idx="51">
                  <c:v>46127</c:v>
                </c:pt>
                <c:pt idx="52">
                  <c:v>46128</c:v>
                </c:pt>
                <c:pt idx="53">
                  <c:v>46129</c:v>
                </c:pt>
                <c:pt idx="54">
                  <c:v>46130</c:v>
                </c:pt>
                <c:pt idx="55">
                  <c:v>46131</c:v>
                </c:pt>
                <c:pt idx="56">
                  <c:v>46132</c:v>
                </c:pt>
                <c:pt idx="57">
                  <c:v>46133</c:v>
                </c:pt>
                <c:pt idx="58">
                  <c:v>46134</c:v>
                </c:pt>
                <c:pt idx="59">
                  <c:v>46135</c:v>
                </c:pt>
                <c:pt idx="60">
                  <c:v>46136</c:v>
                </c:pt>
                <c:pt idx="61">
                  <c:v>46137</c:v>
                </c:pt>
                <c:pt idx="62">
                  <c:v>46138</c:v>
                </c:pt>
                <c:pt idx="63">
                  <c:v>46139</c:v>
                </c:pt>
                <c:pt idx="64">
                  <c:v>46140</c:v>
                </c:pt>
                <c:pt idx="65">
                  <c:v>46141</c:v>
                </c:pt>
                <c:pt idx="66">
                  <c:v>46142</c:v>
                </c:pt>
                <c:pt idx="67">
                  <c:v>46143</c:v>
                </c:pt>
                <c:pt idx="68">
                  <c:v>46144</c:v>
                </c:pt>
                <c:pt idx="69">
                  <c:v>46145</c:v>
                </c:pt>
              </c:numCache>
            </c:numRef>
          </c:xVal>
          <c:yVal>
            <c:numRef>
              <c:f>Weight!$E$3:$E$72</c:f>
              <c:numCache>
                <c:formatCode>General</c:formatCode>
                <c:ptCount val="70"/>
                <c:pt idx="0">
                  <c:v>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77-41B8-AFF1-BA1EC960E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5890896"/>
        <c:axId val="1655881776"/>
      </c:scatterChart>
      <c:dateAx>
        <c:axId val="16558908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881776"/>
        <c:crosses val="autoZero"/>
        <c:auto val="1"/>
        <c:lblOffset val="100"/>
        <c:baseTimeUnit val="days"/>
      </c:dateAx>
      <c:valAx>
        <c:axId val="165588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89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5</xdr:row>
      <xdr:rowOff>157162</xdr:rowOff>
    </xdr:from>
    <xdr:to>
      <xdr:col>18</xdr:col>
      <xdr:colOff>333375</xdr:colOff>
      <xdr:row>20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E92E3B-6CE4-76E1-0C9B-FB3D46805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139D-1810-4C45-9743-604036D6C52E}">
  <dimension ref="A1:AJ46"/>
  <sheetViews>
    <sheetView tabSelected="1" zoomScaleNormal="10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13" sqref="G13"/>
    </sheetView>
  </sheetViews>
  <sheetFormatPr defaultRowHeight="15" x14ac:dyDescent="0.25"/>
  <cols>
    <col min="1" max="1" width="12.5703125" customWidth="1"/>
    <col min="2" max="2" width="28.28515625" bestFit="1" customWidth="1"/>
    <col min="3" max="3" width="25.85546875" bestFit="1" customWidth="1"/>
    <col min="4" max="4" width="17.7109375" bestFit="1" customWidth="1"/>
    <col min="5" max="5" width="23.5703125" bestFit="1" customWidth="1"/>
    <col min="6" max="6" width="30.28515625" bestFit="1" customWidth="1"/>
    <col min="9" max="9" width="14.140625" customWidth="1"/>
    <col min="12" max="12" width="14.28515625" customWidth="1"/>
    <col min="15" max="15" width="14.85546875" customWidth="1"/>
    <col min="18" max="18" width="14.5703125" customWidth="1"/>
    <col min="21" max="21" width="13.42578125" customWidth="1"/>
    <col min="24" max="24" width="13.85546875" customWidth="1"/>
    <col min="27" max="27" width="12.85546875" customWidth="1"/>
    <col min="30" max="30" width="12.85546875" customWidth="1"/>
    <col min="33" max="33" width="14.5703125" customWidth="1"/>
    <col min="36" max="36" width="13.42578125" customWidth="1"/>
  </cols>
  <sheetData>
    <row r="1" spans="1:36" x14ac:dyDescent="0.25"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5">
      <c r="A2" s="5"/>
      <c r="B2" s="15"/>
      <c r="C2" s="4"/>
      <c r="D2" s="4"/>
      <c r="E2" s="5"/>
      <c r="F2" s="25" t="s">
        <v>75</v>
      </c>
      <c r="G2" s="26">
        <v>1</v>
      </c>
      <c r="H2" s="26">
        <v>1</v>
      </c>
      <c r="I2" s="27">
        <v>1</v>
      </c>
      <c r="J2" s="26">
        <f>G2+1</f>
        <v>2</v>
      </c>
      <c r="K2" s="26">
        <f t="shared" ref="K2:AJ2" si="0">H2+1</f>
        <v>2</v>
      </c>
      <c r="L2" s="27">
        <f t="shared" si="0"/>
        <v>2</v>
      </c>
      <c r="M2" s="26">
        <f t="shared" si="0"/>
        <v>3</v>
      </c>
      <c r="N2" s="26">
        <f t="shared" si="0"/>
        <v>3</v>
      </c>
      <c r="O2" s="27">
        <f t="shared" si="0"/>
        <v>3</v>
      </c>
      <c r="P2" s="26">
        <f t="shared" si="0"/>
        <v>4</v>
      </c>
      <c r="Q2" s="26">
        <f t="shared" si="0"/>
        <v>4</v>
      </c>
      <c r="R2" s="27">
        <f t="shared" si="0"/>
        <v>4</v>
      </c>
      <c r="S2" s="26">
        <f t="shared" si="0"/>
        <v>5</v>
      </c>
      <c r="T2" s="26">
        <f t="shared" si="0"/>
        <v>5</v>
      </c>
      <c r="U2" s="27">
        <f t="shared" si="0"/>
        <v>5</v>
      </c>
      <c r="V2" s="26">
        <f t="shared" si="0"/>
        <v>6</v>
      </c>
      <c r="W2" s="26">
        <f t="shared" si="0"/>
        <v>6</v>
      </c>
      <c r="X2" s="27">
        <f t="shared" si="0"/>
        <v>6</v>
      </c>
      <c r="Y2" s="26">
        <f t="shared" si="0"/>
        <v>7</v>
      </c>
      <c r="Z2" s="26">
        <f t="shared" si="0"/>
        <v>7</v>
      </c>
      <c r="AA2" s="27">
        <f t="shared" si="0"/>
        <v>7</v>
      </c>
      <c r="AB2" s="26">
        <f t="shared" si="0"/>
        <v>8</v>
      </c>
      <c r="AC2" s="26">
        <f t="shared" si="0"/>
        <v>8</v>
      </c>
      <c r="AD2" s="27">
        <f t="shared" si="0"/>
        <v>8</v>
      </c>
      <c r="AE2" s="26">
        <f t="shared" si="0"/>
        <v>9</v>
      </c>
      <c r="AF2" s="26">
        <f t="shared" si="0"/>
        <v>9</v>
      </c>
      <c r="AG2" s="27">
        <f t="shared" si="0"/>
        <v>9</v>
      </c>
      <c r="AH2" s="26">
        <f t="shared" si="0"/>
        <v>10</v>
      </c>
      <c r="AI2" s="26">
        <f t="shared" si="0"/>
        <v>10</v>
      </c>
      <c r="AJ2" s="27">
        <f t="shared" si="0"/>
        <v>10</v>
      </c>
    </row>
    <row r="3" spans="1:36" ht="45" x14ac:dyDescent="0.25">
      <c r="A3" s="7" t="s">
        <v>0</v>
      </c>
      <c r="B3" s="16" t="s">
        <v>27</v>
      </c>
      <c r="C3" s="6" t="s">
        <v>15</v>
      </c>
      <c r="D3" s="6" t="s">
        <v>2</v>
      </c>
      <c r="E3" s="7" t="s">
        <v>5</v>
      </c>
      <c r="F3" s="16" t="s">
        <v>60</v>
      </c>
      <c r="G3" s="28" t="s">
        <v>8</v>
      </c>
      <c r="H3" s="28" t="s">
        <v>9</v>
      </c>
      <c r="I3" s="29" t="s">
        <v>33</v>
      </c>
      <c r="J3" s="28" t="s">
        <v>8</v>
      </c>
      <c r="K3" s="28" t="s">
        <v>9</v>
      </c>
      <c r="L3" s="29" t="s">
        <v>33</v>
      </c>
      <c r="M3" s="28" t="s">
        <v>8</v>
      </c>
      <c r="N3" s="28" t="s">
        <v>9</v>
      </c>
      <c r="O3" s="29" t="s">
        <v>33</v>
      </c>
      <c r="P3" s="28" t="s">
        <v>8</v>
      </c>
      <c r="Q3" s="28" t="s">
        <v>9</v>
      </c>
      <c r="R3" s="29" t="s">
        <v>33</v>
      </c>
      <c r="S3" s="28" t="s">
        <v>8</v>
      </c>
      <c r="T3" s="28" t="s">
        <v>9</v>
      </c>
      <c r="U3" s="29" t="s">
        <v>33</v>
      </c>
      <c r="V3" s="28" t="s">
        <v>8</v>
      </c>
      <c r="W3" s="28" t="s">
        <v>9</v>
      </c>
      <c r="X3" s="29" t="s">
        <v>33</v>
      </c>
      <c r="Y3" s="28" t="s">
        <v>8</v>
      </c>
      <c r="Z3" s="28" t="s">
        <v>9</v>
      </c>
      <c r="AA3" s="29" t="s">
        <v>33</v>
      </c>
      <c r="AB3" s="28" t="s">
        <v>8</v>
      </c>
      <c r="AC3" s="28" t="s">
        <v>9</v>
      </c>
      <c r="AD3" s="29" t="s">
        <v>33</v>
      </c>
      <c r="AE3" s="28" t="s">
        <v>8</v>
      </c>
      <c r="AF3" s="28" t="s">
        <v>9</v>
      </c>
      <c r="AG3" s="29" t="s">
        <v>33</v>
      </c>
      <c r="AH3" s="28" t="s">
        <v>8</v>
      </c>
      <c r="AI3" s="28" t="s">
        <v>9</v>
      </c>
      <c r="AJ3" s="29" t="s">
        <v>33</v>
      </c>
    </row>
    <row r="4" spans="1:36" x14ac:dyDescent="0.25">
      <c r="A4" s="9" t="s">
        <v>1</v>
      </c>
      <c r="B4" s="17"/>
      <c r="C4" s="8" t="s">
        <v>20</v>
      </c>
      <c r="D4" s="8" t="s">
        <v>3</v>
      </c>
      <c r="E4" s="9" t="s">
        <v>7</v>
      </c>
      <c r="F4" s="17" t="s">
        <v>61</v>
      </c>
      <c r="G4" s="30">
        <v>5</v>
      </c>
      <c r="H4" s="30">
        <v>5</v>
      </c>
      <c r="I4" s="31">
        <v>100</v>
      </c>
      <c r="J4" s="30">
        <v>5</v>
      </c>
      <c r="K4" s="30">
        <v>5</v>
      </c>
      <c r="L4" s="31">
        <f>I4+2.5</f>
        <v>102.5</v>
      </c>
      <c r="M4" s="30">
        <v>5</v>
      </c>
      <c r="N4" s="30">
        <v>5</v>
      </c>
      <c r="O4" s="31">
        <f>L4+2.5</f>
        <v>105</v>
      </c>
      <c r="P4" s="30">
        <v>5</v>
      </c>
      <c r="Q4" s="30">
        <v>5</v>
      </c>
      <c r="R4" s="31">
        <f>O4+2.5</f>
        <v>107.5</v>
      </c>
      <c r="S4" s="30">
        <v>5</v>
      </c>
      <c r="T4" s="30">
        <v>5</v>
      </c>
      <c r="U4" s="31">
        <f>R4+2.5</f>
        <v>110</v>
      </c>
      <c r="V4" s="30">
        <v>5</v>
      </c>
      <c r="W4" s="30">
        <v>5</v>
      </c>
      <c r="X4" s="31">
        <f>U4+2.5</f>
        <v>112.5</v>
      </c>
      <c r="Y4" s="30">
        <v>5</v>
      </c>
      <c r="Z4" s="30">
        <v>5</v>
      </c>
      <c r="AA4" s="31">
        <f>X4+2.5</f>
        <v>115</v>
      </c>
      <c r="AB4" s="30">
        <v>5</v>
      </c>
      <c r="AC4" s="30">
        <v>5</v>
      </c>
      <c r="AD4" s="31">
        <f>AA4+2.5</f>
        <v>117.5</v>
      </c>
      <c r="AE4" s="30">
        <v>5</v>
      </c>
      <c r="AF4" s="30">
        <v>5</v>
      </c>
      <c r="AG4" s="31">
        <f>AD4+2.5</f>
        <v>120</v>
      </c>
      <c r="AH4" s="30">
        <v>5</v>
      </c>
      <c r="AI4" s="30">
        <v>5</v>
      </c>
      <c r="AJ4" s="31">
        <f>AG4+2.5</f>
        <v>122.5</v>
      </c>
    </row>
    <row r="5" spans="1:36" x14ac:dyDescent="0.25">
      <c r="A5" s="1" t="s">
        <v>1</v>
      </c>
      <c r="B5" s="18"/>
      <c r="C5" t="s">
        <v>20</v>
      </c>
      <c r="D5" t="s">
        <v>4</v>
      </c>
      <c r="E5" s="1" t="s">
        <v>42</v>
      </c>
      <c r="F5" s="18" t="s">
        <v>71</v>
      </c>
      <c r="G5" s="32">
        <v>8</v>
      </c>
      <c r="H5" s="32">
        <v>4</v>
      </c>
      <c r="I5" s="33">
        <v>60</v>
      </c>
      <c r="J5" s="32">
        <v>8</v>
      </c>
      <c r="K5" s="32">
        <v>4</v>
      </c>
      <c r="L5" s="33">
        <v>60</v>
      </c>
      <c r="M5" s="32">
        <v>8</v>
      </c>
      <c r="N5" s="32">
        <v>4</v>
      </c>
      <c r="O5" s="33">
        <f>I5+2.5</f>
        <v>62.5</v>
      </c>
      <c r="P5" s="32">
        <v>8</v>
      </c>
      <c r="Q5" s="32">
        <v>4</v>
      </c>
      <c r="R5" s="33">
        <f>L5+2.5</f>
        <v>62.5</v>
      </c>
      <c r="S5" s="32">
        <v>8</v>
      </c>
      <c r="T5" s="32">
        <v>4</v>
      </c>
      <c r="U5" s="33">
        <f>O5+2.5</f>
        <v>65</v>
      </c>
      <c r="V5" s="32">
        <v>8</v>
      </c>
      <c r="W5" s="32">
        <v>4</v>
      </c>
      <c r="X5" s="33">
        <f>R5+2.5</f>
        <v>65</v>
      </c>
      <c r="Y5" s="32">
        <v>8</v>
      </c>
      <c r="Z5" s="32">
        <v>4</v>
      </c>
      <c r="AA5" s="33">
        <f>U5+2.5</f>
        <v>67.5</v>
      </c>
      <c r="AB5" s="32">
        <v>8</v>
      </c>
      <c r="AC5" s="32">
        <v>4</v>
      </c>
      <c r="AD5" s="33">
        <f>X5+2.5</f>
        <v>67.5</v>
      </c>
      <c r="AE5" s="32">
        <v>8</v>
      </c>
      <c r="AF5" s="32">
        <v>4</v>
      </c>
      <c r="AG5" s="33">
        <f>AA5+2.5</f>
        <v>70</v>
      </c>
      <c r="AH5" s="32">
        <v>8</v>
      </c>
      <c r="AI5" s="32">
        <v>4</v>
      </c>
      <c r="AJ5" s="33">
        <f>AD5+2.5</f>
        <v>70</v>
      </c>
    </row>
    <row r="6" spans="1:36" x14ac:dyDescent="0.25">
      <c r="A6" s="1" t="s">
        <v>1</v>
      </c>
      <c r="B6" s="18"/>
      <c r="C6" t="s">
        <v>20</v>
      </c>
      <c r="D6" t="s">
        <v>4</v>
      </c>
      <c r="E6" s="1" t="s">
        <v>11</v>
      </c>
      <c r="F6" s="18" t="s">
        <v>71</v>
      </c>
      <c r="G6" s="32">
        <v>8</v>
      </c>
      <c r="H6" s="32">
        <v>4</v>
      </c>
      <c r="I6" s="33">
        <v>30</v>
      </c>
      <c r="J6" s="32">
        <v>8</v>
      </c>
      <c r="K6" s="32">
        <v>4</v>
      </c>
      <c r="L6" s="33">
        <v>30</v>
      </c>
      <c r="M6" s="32">
        <v>8</v>
      </c>
      <c r="N6" s="32">
        <v>4</v>
      </c>
      <c r="O6" s="33">
        <v>30</v>
      </c>
      <c r="P6" s="32">
        <v>8</v>
      </c>
      <c r="Q6" s="32">
        <v>4</v>
      </c>
      <c r="R6" s="33">
        <v>30</v>
      </c>
      <c r="S6" s="32">
        <v>8</v>
      </c>
      <c r="T6" s="32">
        <v>4</v>
      </c>
      <c r="U6" s="33">
        <f>I6+2</f>
        <v>32</v>
      </c>
      <c r="V6" s="32">
        <v>8</v>
      </c>
      <c r="W6" s="32">
        <v>4</v>
      </c>
      <c r="X6" s="33">
        <f>L6+2</f>
        <v>32</v>
      </c>
      <c r="Y6" s="32">
        <v>8</v>
      </c>
      <c r="Z6" s="32">
        <v>4</v>
      </c>
      <c r="AA6" s="33">
        <f>O6+2</f>
        <v>32</v>
      </c>
      <c r="AB6" s="32">
        <v>8</v>
      </c>
      <c r="AC6" s="32">
        <v>4</v>
      </c>
      <c r="AD6" s="33">
        <f>R6+2</f>
        <v>32</v>
      </c>
      <c r="AE6" s="32">
        <v>8</v>
      </c>
      <c r="AF6" s="32">
        <v>4</v>
      </c>
      <c r="AG6" s="33">
        <f>U6+2</f>
        <v>34</v>
      </c>
      <c r="AH6" s="32">
        <v>8</v>
      </c>
      <c r="AI6" s="32">
        <v>4</v>
      </c>
      <c r="AJ6" s="33">
        <f>X6+2</f>
        <v>34</v>
      </c>
    </row>
    <row r="7" spans="1:36" x14ac:dyDescent="0.25">
      <c r="A7" s="11" t="s">
        <v>1</v>
      </c>
      <c r="B7" s="19"/>
      <c r="C7" s="10" t="s">
        <v>20</v>
      </c>
      <c r="D7" s="10" t="s">
        <v>4</v>
      </c>
      <c r="E7" s="11" t="s">
        <v>10</v>
      </c>
      <c r="F7" s="19" t="s">
        <v>71</v>
      </c>
      <c r="G7" s="34">
        <v>15</v>
      </c>
      <c r="H7" s="34">
        <v>3</v>
      </c>
      <c r="I7" s="35">
        <v>0</v>
      </c>
      <c r="J7" s="34">
        <v>15</v>
      </c>
      <c r="K7" s="34">
        <v>3</v>
      </c>
      <c r="L7" s="35">
        <f>I7</f>
        <v>0</v>
      </c>
      <c r="M7" s="34">
        <v>15</v>
      </c>
      <c r="N7" s="34">
        <v>3</v>
      </c>
      <c r="O7" s="35">
        <f>L7</f>
        <v>0</v>
      </c>
      <c r="P7" s="34">
        <v>15</v>
      </c>
      <c r="Q7" s="34">
        <v>3</v>
      </c>
      <c r="R7" s="35">
        <f>O7</f>
        <v>0</v>
      </c>
      <c r="S7" s="34">
        <v>15</v>
      </c>
      <c r="T7" s="34">
        <v>3</v>
      </c>
      <c r="U7" s="35">
        <v>10</v>
      </c>
      <c r="V7" s="34">
        <v>15</v>
      </c>
      <c r="W7" s="34">
        <v>3</v>
      </c>
      <c r="X7" s="35">
        <f>U7</f>
        <v>10</v>
      </c>
      <c r="Y7" s="34">
        <v>15</v>
      </c>
      <c r="Z7" s="34">
        <v>3</v>
      </c>
      <c r="AA7" s="35">
        <f>X7</f>
        <v>10</v>
      </c>
      <c r="AB7" s="34">
        <v>15</v>
      </c>
      <c r="AC7" s="34">
        <v>3</v>
      </c>
      <c r="AD7" s="35">
        <f>AA7</f>
        <v>10</v>
      </c>
      <c r="AE7" s="34">
        <v>15</v>
      </c>
      <c r="AF7" s="34">
        <v>3</v>
      </c>
      <c r="AG7" s="35">
        <f>AD7</f>
        <v>10</v>
      </c>
      <c r="AH7" s="34">
        <v>15</v>
      </c>
      <c r="AI7" s="34">
        <v>3</v>
      </c>
      <c r="AJ7" s="35">
        <f>AG7</f>
        <v>10</v>
      </c>
    </row>
    <row r="8" spans="1:36" x14ac:dyDescent="0.25">
      <c r="A8" s="1" t="s">
        <v>1</v>
      </c>
      <c r="B8" s="18"/>
      <c r="C8" t="s">
        <v>20</v>
      </c>
      <c r="D8" t="s">
        <v>6</v>
      </c>
      <c r="E8" s="1" t="s">
        <v>12</v>
      </c>
      <c r="F8" s="18" t="s">
        <v>70</v>
      </c>
      <c r="G8" s="32">
        <v>15</v>
      </c>
      <c r="H8" s="32">
        <v>3</v>
      </c>
      <c r="I8" s="33">
        <v>0</v>
      </c>
      <c r="J8" s="32">
        <v>15</v>
      </c>
      <c r="K8" s="32">
        <v>3</v>
      </c>
      <c r="L8" s="33">
        <v>0</v>
      </c>
      <c r="M8" s="32">
        <v>15</v>
      </c>
      <c r="N8" s="32">
        <v>3</v>
      </c>
      <c r="O8" s="33">
        <v>0</v>
      </c>
      <c r="P8" s="32">
        <v>15</v>
      </c>
      <c r="Q8" s="32">
        <v>3</v>
      </c>
      <c r="R8" s="33">
        <v>0</v>
      </c>
      <c r="S8" s="32">
        <v>15</v>
      </c>
      <c r="T8" s="32">
        <v>3</v>
      </c>
      <c r="U8" s="33">
        <v>5</v>
      </c>
      <c r="V8" s="32">
        <v>15</v>
      </c>
      <c r="W8" s="32">
        <v>3</v>
      </c>
      <c r="X8" s="33">
        <v>5</v>
      </c>
      <c r="Y8" s="32">
        <v>15</v>
      </c>
      <c r="Z8" s="32">
        <v>3</v>
      </c>
      <c r="AA8" s="33">
        <v>5</v>
      </c>
      <c r="AB8" s="32">
        <v>15</v>
      </c>
      <c r="AC8" s="32">
        <v>3</v>
      </c>
      <c r="AD8" s="33">
        <v>5</v>
      </c>
      <c r="AE8" s="32">
        <v>15</v>
      </c>
      <c r="AF8" s="32">
        <v>3</v>
      </c>
      <c r="AG8" s="33">
        <v>10</v>
      </c>
      <c r="AH8" s="32">
        <v>15</v>
      </c>
      <c r="AI8" s="32">
        <v>3</v>
      </c>
      <c r="AJ8" s="33">
        <v>10</v>
      </c>
    </row>
    <row r="9" spans="1:36" x14ac:dyDescent="0.25">
      <c r="A9" s="3" t="s">
        <v>1</v>
      </c>
      <c r="B9" s="20"/>
      <c r="C9" s="2" t="s">
        <v>20</v>
      </c>
      <c r="D9" s="2" t="s">
        <v>6</v>
      </c>
      <c r="E9" s="3" t="s">
        <v>13</v>
      </c>
      <c r="F9" s="20" t="s">
        <v>70</v>
      </c>
      <c r="G9" s="36">
        <v>10</v>
      </c>
      <c r="H9" s="36">
        <v>3</v>
      </c>
      <c r="I9" s="37">
        <v>0</v>
      </c>
      <c r="J9" s="36">
        <v>10</v>
      </c>
      <c r="K9" s="36">
        <v>3</v>
      </c>
      <c r="L9" s="37">
        <v>0</v>
      </c>
      <c r="M9" s="36">
        <v>10</v>
      </c>
      <c r="N9" s="36">
        <v>3</v>
      </c>
      <c r="O9" s="37">
        <v>0</v>
      </c>
      <c r="P9" s="36">
        <v>10</v>
      </c>
      <c r="Q9" s="36">
        <v>3</v>
      </c>
      <c r="R9" s="37">
        <v>0</v>
      </c>
      <c r="S9" s="36">
        <v>10</v>
      </c>
      <c r="T9" s="36">
        <v>3</v>
      </c>
      <c r="U9" s="37">
        <v>0</v>
      </c>
      <c r="V9" s="36">
        <v>10</v>
      </c>
      <c r="W9" s="36">
        <v>3</v>
      </c>
      <c r="X9" s="37">
        <v>0</v>
      </c>
      <c r="Y9" s="36">
        <v>10</v>
      </c>
      <c r="Z9" s="36">
        <v>3</v>
      </c>
      <c r="AA9" s="37">
        <v>0</v>
      </c>
      <c r="AB9" s="36">
        <v>10</v>
      </c>
      <c r="AC9" s="36">
        <v>3</v>
      </c>
      <c r="AD9" s="37">
        <v>0</v>
      </c>
      <c r="AE9" s="36">
        <v>10</v>
      </c>
      <c r="AF9" s="36">
        <v>3</v>
      </c>
      <c r="AG9" s="37">
        <v>0</v>
      </c>
      <c r="AH9" s="36">
        <v>10</v>
      </c>
      <c r="AI9" s="36">
        <v>3</v>
      </c>
      <c r="AJ9" s="37">
        <v>0</v>
      </c>
    </row>
    <row r="10" spans="1:36" x14ac:dyDescent="0.25">
      <c r="A10" s="9" t="s">
        <v>14</v>
      </c>
      <c r="B10" s="17" t="s">
        <v>28</v>
      </c>
      <c r="C10" s="8" t="s">
        <v>16</v>
      </c>
      <c r="D10" s="8" t="s">
        <v>3</v>
      </c>
      <c r="E10" s="9" t="s">
        <v>26</v>
      </c>
      <c r="F10" s="17" t="s">
        <v>61</v>
      </c>
      <c r="G10" s="30">
        <v>5</v>
      </c>
      <c r="H10" s="30">
        <v>5</v>
      </c>
      <c r="I10" s="31">
        <v>150</v>
      </c>
      <c r="J10" s="30">
        <v>5</v>
      </c>
      <c r="K10" s="30">
        <v>5</v>
      </c>
      <c r="L10" s="31">
        <f>I10+5</f>
        <v>155</v>
      </c>
      <c r="M10" s="30">
        <v>5</v>
      </c>
      <c r="N10" s="30">
        <v>5</v>
      </c>
      <c r="O10" s="31">
        <f>L10+5</f>
        <v>160</v>
      </c>
      <c r="P10" s="30">
        <v>5</v>
      </c>
      <c r="Q10" s="30">
        <v>5</v>
      </c>
      <c r="R10" s="31">
        <f>O10+5</f>
        <v>165</v>
      </c>
      <c r="S10" s="30">
        <v>5</v>
      </c>
      <c r="T10" s="30">
        <v>5</v>
      </c>
      <c r="U10" s="31">
        <f>R10+5</f>
        <v>170</v>
      </c>
      <c r="V10" s="30">
        <v>5</v>
      </c>
      <c r="W10" s="30">
        <v>5</v>
      </c>
      <c r="X10" s="31">
        <f>U10+5</f>
        <v>175</v>
      </c>
      <c r="Y10" s="30">
        <v>5</v>
      </c>
      <c r="Z10" s="30">
        <v>5</v>
      </c>
      <c r="AA10" s="31">
        <f>X10+5</f>
        <v>180</v>
      </c>
      <c r="AB10" s="30">
        <v>5</v>
      </c>
      <c r="AC10" s="30">
        <v>5</v>
      </c>
      <c r="AD10" s="31">
        <f>AA10+5</f>
        <v>185</v>
      </c>
      <c r="AE10" s="30">
        <v>5</v>
      </c>
      <c r="AF10" s="30">
        <v>5</v>
      </c>
      <c r="AG10" s="31">
        <f>AD10+5</f>
        <v>190</v>
      </c>
      <c r="AH10" s="30">
        <v>5</v>
      </c>
      <c r="AI10" s="30">
        <v>5</v>
      </c>
      <c r="AJ10" s="31">
        <f>AG10+5</f>
        <v>195</v>
      </c>
    </row>
    <row r="11" spans="1:36" x14ac:dyDescent="0.25">
      <c r="A11" s="1" t="s">
        <v>14</v>
      </c>
      <c r="B11" s="18" t="s">
        <v>28</v>
      </c>
      <c r="C11" t="s">
        <v>16</v>
      </c>
      <c r="D11" t="s">
        <v>4</v>
      </c>
      <c r="E11" s="1" t="s">
        <v>37</v>
      </c>
      <c r="F11" s="18" t="s">
        <v>71</v>
      </c>
      <c r="G11" s="32">
        <v>8</v>
      </c>
      <c r="H11" s="32">
        <v>2</v>
      </c>
      <c r="I11" s="33">
        <v>100</v>
      </c>
      <c r="J11" s="32">
        <f t="shared" ref="J11:J12" si="1">G11</f>
        <v>8</v>
      </c>
      <c r="K11" s="32">
        <f t="shared" ref="K11:K12" si="2">H11</f>
        <v>2</v>
      </c>
      <c r="L11" s="33">
        <f t="shared" ref="L11:L12" si="3">I11</f>
        <v>100</v>
      </c>
      <c r="M11" s="32">
        <f t="shared" ref="M11:M14" si="4">J11</f>
        <v>8</v>
      </c>
      <c r="N11" s="32">
        <f t="shared" ref="N11:N14" si="5">K11</f>
        <v>2</v>
      </c>
      <c r="O11" s="33">
        <f t="shared" ref="O11:O14" si="6">L11</f>
        <v>100</v>
      </c>
      <c r="P11" s="32">
        <f t="shared" ref="P11:P14" si="7">M11</f>
        <v>8</v>
      </c>
      <c r="Q11" s="32">
        <f t="shared" ref="Q11:Q14" si="8">N11</f>
        <v>2</v>
      </c>
      <c r="R11" s="33">
        <f t="shared" ref="R11:R14" si="9">O11</f>
        <v>100</v>
      </c>
      <c r="S11" s="32">
        <f t="shared" ref="S11:S14" si="10">P11</f>
        <v>8</v>
      </c>
      <c r="T11" s="32">
        <f t="shared" ref="T11:T14" si="11">Q11</f>
        <v>2</v>
      </c>
      <c r="U11" s="33">
        <v>110</v>
      </c>
      <c r="V11" s="32">
        <f t="shared" ref="V11:V14" si="12">S11</f>
        <v>8</v>
      </c>
      <c r="W11" s="32">
        <f t="shared" ref="W11:W14" si="13">T11</f>
        <v>2</v>
      </c>
      <c r="X11" s="33">
        <f t="shared" ref="X11:X14" si="14">U11</f>
        <v>110</v>
      </c>
      <c r="Y11" s="32">
        <f t="shared" ref="Y11:Y14" si="15">V11</f>
        <v>8</v>
      </c>
      <c r="Z11" s="32">
        <f t="shared" ref="Z11:Z14" si="16">W11</f>
        <v>2</v>
      </c>
      <c r="AA11" s="33">
        <f t="shared" ref="AA11:AA14" si="17">X11</f>
        <v>110</v>
      </c>
      <c r="AB11" s="32">
        <f t="shared" ref="AB11:AB14" si="18">Y11</f>
        <v>8</v>
      </c>
      <c r="AC11" s="32">
        <f t="shared" ref="AC11:AC14" si="19">Z11</f>
        <v>2</v>
      </c>
      <c r="AD11" s="33">
        <f t="shared" ref="AD11:AD14" si="20">AA11</f>
        <v>110</v>
      </c>
      <c r="AE11" s="32">
        <f t="shared" ref="AE11:AE14" si="21">AB11</f>
        <v>8</v>
      </c>
      <c r="AF11" s="32">
        <f t="shared" ref="AF11:AF14" si="22">AC11</f>
        <v>2</v>
      </c>
      <c r="AG11" s="33">
        <v>120</v>
      </c>
      <c r="AH11" s="32">
        <f t="shared" ref="AH11:AH14" si="23">AE11</f>
        <v>8</v>
      </c>
      <c r="AI11" s="32">
        <f t="shared" ref="AI11:AI14" si="24">AF11</f>
        <v>2</v>
      </c>
      <c r="AJ11" s="33">
        <f t="shared" ref="AJ11:AJ14" si="25">AG11</f>
        <v>120</v>
      </c>
    </row>
    <row r="12" spans="1:36" x14ac:dyDescent="0.25">
      <c r="A12" s="1" t="s">
        <v>14</v>
      </c>
      <c r="B12" s="18" t="s">
        <v>28</v>
      </c>
      <c r="C12" t="s">
        <v>16</v>
      </c>
      <c r="D12" t="s">
        <v>4</v>
      </c>
      <c r="E12" s="1" t="s">
        <v>38</v>
      </c>
      <c r="F12" s="18" t="s">
        <v>71</v>
      </c>
      <c r="G12" s="32">
        <v>10</v>
      </c>
      <c r="H12" s="32">
        <v>3</v>
      </c>
      <c r="I12" s="33">
        <v>30</v>
      </c>
      <c r="J12" s="32">
        <f t="shared" si="1"/>
        <v>10</v>
      </c>
      <c r="K12" s="32">
        <f t="shared" si="2"/>
        <v>3</v>
      </c>
      <c r="L12" s="33">
        <f t="shared" si="3"/>
        <v>30</v>
      </c>
      <c r="M12" s="32">
        <f t="shared" si="4"/>
        <v>10</v>
      </c>
      <c r="N12" s="32">
        <f t="shared" si="5"/>
        <v>3</v>
      </c>
      <c r="O12" s="33">
        <v>35</v>
      </c>
      <c r="P12" s="32">
        <f t="shared" si="7"/>
        <v>10</v>
      </c>
      <c r="Q12" s="32">
        <f t="shared" si="8"/>
        <v>3</v>
      </c>
      <c r="R12" s="33">
        <f t="shared" si="9"/>
        <v>35</v>
      </c>
      <c r="S12" s="32">
        <f t="shared" si="10"/>
        <v>10</v>
      </c>
      <c r="T12" s="32">
        <f t="shared" si="11"/>
        <v>3</v>
      </c>
      <c r="U12" s="33">
        <v>40</v>
      </c>
      <c r="V12" s="32">
        <f t="shared" si="12"/>
        <v>10</v>
      </c>
      <c r="W12" s="32">
        <f t="shared" si="13"/>
        <v>3</v>
      </c>
      <c r="X12" s="33">
        <f t="shared" si="14"/>
        <v>40</v>
      </c>
      <c r="Y12" s="32">
        <f t="shared" si="15"/>
        <v>10</v>
      </c>
      <c r="Z12" s="32">
        <f t="shared" si="16"/>
        <v>3</v>
      </c>
      <c r="AA12" s="33">
        <v>45</v>
      </c>
      <c r="AB12" s="32">
        <f t="shared" si="18"/>
        <v>10</v>
      </c>
      <c r="AC12" s="32">
        <f t="shared" si="19"/>
        <v>3</v>
      </c>
      <c r="AD12" s="33">
        <f t="shared" si="20"/>
        <v>45</v>
      </c>
      <c r="AE12" s="32">
        <f t="shared" si="21"/>
        <v>10</v>
      </c>
      <c r="AF12" s="32">
        <f t="shared" si="22"/>
        <v>3</v>
      </c>
      <c r="AG12" s="33">
        <v>50</v>
      </c>
      <c r="AH12" s="32">
        <f t="shared" si="23"/>
        <v>10</v>
      </c>
      <c r="AI12" s="32">
        <f t="shared" si="24"/>
        <v>3</v>
      </c>
      <c r="AJ12" s="33">
        <f t="shared" si="25"/>
        <v>50</v>
      </c>
    </row>
    <row r="13" spans="1:36" x14ac:dyDescent="0.25">
      <c r="A13" s="1" t="s">
        <v>14</v>
      </c>
      <c r="B13" s="18" t="s">
        <v>28</v>
      </c>
      <c r="C13" t="s">
        <v>16</v>
      </c>
      <c r="D13" t="s">
        <v>4</v>
      </c>
      <c r="E13" s="1" t="s">
        <v>40</v>
      </c>
      <c r="F13" s="18" t="s">
        <v>71</v>
      </c>
      <c r="G13" s="32">
        <v>12</v>
      </c>
      <c r="H13" s="32">
        <v>4</v>
      </c>
      <c r="I13" s="33">
        <v>130</v>
      </c>
      <c r="J13" s="32">
        <f>G13</f>
        <v>12</v>
      </c>
      <c r="K13" s="32">
        <f>H13</f>
        <v>4</v>
      </c>
      <c r="L13" s="33">
        <f>I13</f>
        <v>130</v>
      </c>
      <c r="M13" s="32">
        <f t="shared" si="4"/>
        <v>12</v>
      </c>
      <c r="N13" s="32">
        <f t="shared" si="5"/>
        <v>4</v>
      </c>
      <c r="O13" s="33">
        <f t="shared" si="6"/>
        <v>130</v>
      </c>
      <c r="P13" s="32">
        <f t="shared" si="7"/>
        <v>12</v>
      </c>
      <c r="Q13" s="32">
        <f t="shared" si="8"/>
        <v>4</v>
      </c>
      <c r="R13" s="33">
        <f t="shared" si="9"/>
        <v>130</v>
      </c>
      <c r="S13" s="32">
        <f t="shared" si="10"/>
        <v>12</v>
      </c>
      <c r="T13" s="32">
        <f t="shared" si="11"/>
        <v>4</v>
      </c>
      <c r="U13" s="33">
        <f t="shared" ref="U13" si="26">R13</f>
        <v>130</v>
      </c>
      <c r="V13" s="32">
        <f t="shared" si="12"/>
        <v>12</v>
      </c>
      <c r="W13" s="32">
        <f t="shared" si="13"/>
        <v>4</v>
      </c>
      <c r="X13" s="33">
        <f t="shared" si="14"/>
        <v>130</v>
      </c>
      <c r="Y13" s="32">
        <f t="shared" si="15"/>
        <v>12</v>
      </c>
      <c r="Z13" s="32">
        <f t="shared" si="16"/>
        <v>4</v>
      </c>
      <c r="AA13" s="33">
        <f t="shared" si="17"/>
        <v>130</v>
      </c>
      <c r="AB13" s="32">
        <f t="shared" si="18"/>
        <v>12</v>
      </c>
      <c r="AC13" s="32">
        <f t="shared" si="19"/>
        <v>4</v>
      </c>
      <c r="AD13" s="33">
        <f t="shared" si="20"/>
        <v>130</v>
      </c>
      <c r="AE13" s="32">
        <f t="shared" si="21"/>
        <v>12</v>
      </c>
      <c r="AF13" s="32">
        <f t="shared" si="22"/>
        <v>4</v>
      </c>
      <c r="AG13" s="33">
        <f t="shared" ref="AG13" si="27">AD13</f>
        <v>130</v>
      </c>
      <c r="AH13" s="32">
        <f t="shared" si="23"/>
        <v>12</v>
      </c>
      <c r="AI13" s="32">
        <f t="shared" si="24"/>
        <v>4</v>
      </c>
      <c r="AJ13" s="33">
        <f t="shared" si="25"/>
        <v>130</v>
      </c>
    </row>
    <row r="14" spans="1:36" x14ac:dyDescent="0.25">
      <c r="A14" s="11" t="s">
        <v>14</v>
      </c>
      <c r="B14" s="19" t="s">
        <v>28</v>
      </c>
      <c r="C14" s="10" t="s">
        <v>16</v>
      </c>
      <c r="D14" s="10" t="s">
        <v>76</v>
      </c>
      <c r="E14" s="11" t="s">
        <v>39</v>
      </c>
      <c r="F14" s="19" t="s">
        <v>71</v>
      </c>
      <c r="G14" s="34">
        <v>8</v>
      </c>
      <c r="H14" s="34">
        <v>2</v>
      </c>
      <c r="I14" s="35">
        <v>120</v>
      </c>
      <c r="J14" s="34">
        <f t="shared" ref="J14:L14" si="28">G14</f>
        <v>8</v>
      </c>
      <c r="K14" s="34">
        <f t="shared" si="28"/>
        <v>2</v>
      </c>
      <c r="L14" s="35">
        <f t="shared" si="28"/>
        <v>120</v>
      </c>
      <c r="M14" s="34">
        <f t="shared" si="4"/>
        <v>8</v>
      </c>
      <c r="N14" s="34">
        <f t="shared" si="5"/>
        <v>2</v>
      </c>
      <c r="O14" s="35">
        <f t="shared" si="6"/>
        <v>120</v>
      </c>
      <c r="P14" s="34">
        <f t="shared" si="7"/>
        <v>8</v>
      </c>
      <c r="Q14" s="34">
        <f t="shared" si="8"/>
        <v>2</v>
      </c>
      <c r="R14" s="35">
        <f t="shared" si="9"/>
        <v>120</v>
      </c>
      <c r="S14" s="34">
        <f t="shared" si="10"/>
        <v>8</v>
      </c>
      <c r="T14" s="34">
        <f t="shared" si="11"/>
        <v>2</v>
      </c>
      <c r="U14" s="35">
        <v>125</v>
      </c>
      <c r="V14" s="34">
        <f t="shared" si="12"/>
        <v>8</v>
      </c>
      <c r="W14" s="34">
        <f t="shared" si="13"/>
        <v>2</v>
      </c>
      <c r="X14" s="35">
        <f t="shared" si="14"/>
        <v>125</v>
      </c>
      <c r="Y14" s="34">
        <f t="shared" si="15"/>
        <v>8</v>
      </c>
      <c r="Z14" s="34">
        <f t="shared" si="16"/>
        <v>2</v>
      </c>
      <c r="AA14" s="35">
        <f t="shared" si="17"/>
        <v>125</v>
      </c>
      <c r="AB14" s="34">
        <f t="shared" si="18"/>
        <v>8</v>
      </c>
      <c r="AC14" s="34">
        <f t="shared" si="19"/>
        <v>2</v>
      </c>
      <c r="AD14" s="35">
        <f t="shared" si="20"/>
        <v>125</v>
      </c>
      <c r="AE14" s="34">
        <f t="shared" si="21"/>
        <v>8</v>
      </c>
      <c r="AF14" s="34">
        <f t="shared" si="22"/>
        <v>2</v>
      </c>
      <c r="AG14" s="35">
        <v>130</v>
      </c>
      <c r="AH14" s="34">
        <f t="shared" si="23"/>
        <v>8</v>
      </c>
      <c r="AI14" s="34">
        <f t="shared" si="24"/>
        <v>2</v>
      </c>
      <c r="AJ14" s="35">
        <f t="shared" si="25"/>
        <v>130</v>
      </c>
    </row>
    <row r="15" spans="1:36" x14ac:dyDescent="0.25">
      <c r="A15" s="1" t="s">
        <v>14</v>
      </c>
      <c r="B15" s="18" t="s">
        <v>28</v>
      </c>
      <c r="C15" t="s">
        <v>16</v>
      </c>
      <c r="D15" t="s">
        <v>6</v>
      </c>
      <c r="E15" s="1" t="s">
        <v>35</v>
      </c>
      <c r="F15" s="18" t="s">
        <v>70</v>
      </c>
      <c r="G15" s="32">
        <v>15</v>
      </c>
      <c r="H15" s="32">
        <v>3</v>
      </c>
      <c r="I15" s="33">
        <v>0</v>
      </c>
      <c r="J15" s="32">
        <f t="shared" ref="J15:L16" si="29">G15</f>
        <v>15</v>
      </c>
      <c r="K15" s="32">
        <f t="shared" si="29"/>
        <v>3</v>
      </c>
      <c r="L15" s="33">
        <f t="shared" si="29"/>
        <v>0</v>
      </c>
      <c r="M15" s="32">
        <v>20</v>
      </c>
      <c r="N15" s="32">
        <f>K15</f>
        <v>3</v>
      </c>
      <c r="O15" s="33">
        <f>L15</f>
        <v>0</v>
      </c>
      <c r="P15" s="32">
        <v>20</v>
      </c>
      <c r="Q15" s="32">
        <f>N15</f>
        <v>3</v>
      </c>
      <c r="R15" s="33">
        <f>O15</f>
        <v>0</v>
      </c>
      <c r="S15" s="32">
        <v>25</v>
      </c>
      <c r="T15" s="32">
        <f>Q15</f>
        <v>3</v>
      </c>
      <c r="U15" s="33">
        <f>R15</f>
        <v>0</v>
      </c>
      <c r="V15" s="32">
        <v>25</v>
      </c>
      <c r="W15" s="32">
        <f>T15</f>
        <v>3</v>
      </c>
      <c r="X15" s="33">
        <f>U15</f>
        <v>0</v>
      </c>
      <c r="Y15" s="32">
        <v>30</v>
      </c>
      <c r="Z15" s="32">
        <f>W15</f>
        <v>3</v>
      </c>
      <c r="AA15" s="33">
        <f>X15</f>
        <v>0</v>
      </c>
      <c r="AB15" s="32">
        <v>30</v>
      </c>
      <c r="AC15" s="32">
        <f>Z15</f>
        <v>3</v>
      </c>
      <c r="AD15" s="33">
        <f>AA15</f>
        <v>0</v>
      </c>
      <c r="AE15" s="32">
        <v>35</v>
      </c>
      <c r="AF15" s="32">
        <f>AC15</f>
        <v>3</v>
      </c>
      <c r="AG15" s="33">
        <f>AD15</f>
        <v>0</v>
      </c>
      <c r="AH15" s="32">
        <v>35</v>
      </c>
      <c r="AI15" s="32">
        <f>AF15</f>
        <v>3</v>
      </c>
      <c r="AJ15" s="33">
        <f>AG15</f>
        <v>0</v>
      </c>
    </row>
    <row r="16" spans="1:36" x14ac:dyDescent="0.25">
      <c r="A16" s="3" t="s">
        <v>14</v>
      </c>
      <c r="B16" s="20" t="s">
        <v>28</v>
      </c>
      <c r="C16" s="2" t="s">
        <v>16</v>
      </c>
      <c r="D16" s="2" t="s">
        <v>6</v>
      </c>
      <c r="E16" s="3" t="s">
        <v>36</v>
      </c>
      <c r="F16" s="20" t="s">
        <v>70</v>
      </c>
      <c r="G16" s="36">
        <v>24</v>
      </c>
      <c r="H16" s="36">
        <v>3</v>
      </c>
      <c r="I16" s="37">
        <v>0</v>
      </c>
      <c r="J16" s="36">
        <f t="shared" si="29"/>
        <v>24</v>
      </c>
      <c r="K16" s="36">
        <f t="shared" si="29"/>
        <v>3</v>
      </c>
      <c r="L16" s="37">
        <f t="shared" si="29"/>
        <v>0</v>
      </c>
      <c r="M16" s="36">
        <f>J16</f>
        <v>24</v>
      </c>
      <c r="N16" s="36">
        <f>K16</f>
        <v>3</v>
      </c>
      <c r="O16" s="37">
        <v>5</v>
      </c>
      <c r="P16" s="36">
        <f>M16</f>
        <v>24</v>
      </c>
      <c r="Q16" s="36">
        <f>N16</f>
        <v>3</v>
      </c>
      <c r="R16" s="37">
        <v>5</v>
      </c>
      <c r="S16" s="36">
        <f>P16</f>
        <v>24</v>
      </c>
      <c r="T16" s="36">
        <f>Q16</f>
        <v>3</v>
      </c>
      <c r="U16" s="37">
        <v>10</v>
      </c>
      <c r="V16" s="36">
        <f>S16</f>
        <v>24</v>
      </c>
      <c r="W16" s="36">
        <f>T16</f>
        <v>3</v>
      </c>
      <c r="X16" s="37">
        <v>10</v>
      </c>
      <c r="Y16" s="36">
        <f>V16</f>
        <v>24</v>
      </c>
      <c r="Z16" s="36">
        <f>W16</f>
        <v>3</v>
      </c>
      <c r="AA16" s="37">
        <v>15</v>
      </c>
      <c r="AB16" s="36">
        <f>Y16</f>
        <v>24</v>
      </c>
      <c r="AC16" s="36">
        <f>Z16</f>
        <v>3</v>
      </c>
      <c r="AD16" s="37">
        <v>15</v>
      </c>
      <c r="AE16" s="36">
        <f>AB16</f>
        <v>24</v>
      </c>
      <c r="AF16" s="36">
        <f>AC16</f>
        <v>3</v>
      </c>
      <c r="AG16" s="37">
        <v>20</v>
      </c>
      <c r="AH16" s="36">
        <f>AE16</f>
        <v>24</v>
      </c>
      <c r="AI16" s="36">
        <f>AF16</f>
        <v>3</v>
      </c>
      <c r="AJ16" s="37">
        <v>20</v>
      </c>
    </row>
    <row r="17" spans="1:36" x14ac:dyDescent="0.25">
      <c r="A17" s="9" t="s">
        <v>17</v>
      </c>
      <c r="B17" s="17" t="s">
        <v>29</v>
      </c>
      <c r="C17" s="8" t="s">
        <v>18</v>
      </c>
      <c r="D17" s="8" t="s">
        <v>34</v>
      </c>
      <c r="E17" s="9" t="s">
        <v>25</v>
      </c>
      <c r="F17" s="17" t="s">
        <v>62</v>
      </c>
      <c r="G17" s="30">
        <v>1</v>
      </c>
      <c r="H17" s="30">
        <v>1</v>
      </c>
      <c r="I17" s="31">
        <v>9</v>
      </c>
      <c r="J17" s="30">
        <f>G17</f>
        <v>1</v>
      </c>
      <c r="K17" s="30">
        <f t="shared" ref="K17" si="30">H17</f>
        <v>1</v>
      </c>
      <c r="L17" s="31">
        <f>I17</f>
        <v>9</v>
      </c>
      <c r="M17" s="30">
        <f t="shared" ref="M17:AJ17" si="31">J17</f>
        <v>1</v>
      </c>
      <c r="N17" s="30">
        <f t="shared" si="31"/>
        <v>1</v>
      </c>
      <c r="O17" s="31">
        <f t="shared" si="31"/>
        <v>9</v>
      </c>
      <c r="P17" s="30">
        <f t="shared" si="31"/>
        <v>1</v>
      </c>
      <c r="Q17" s="30">
        <f t="shared" si="31"/>
        <v>1</v>
      </c>
      <c r="R17" s="31">
        <f t="shared" si="31"/>
        <v>9</v>
      </c>
      <c r="S17" s="30">
        <f t="shared" si="31"/>
        <v>1</v>
      </c>
      <c r="T17" s="30">
        <f t="shared" si="31"/>
        <v>1</v>
      </c>
      <c r="U17" s="31">
        <f t="shared" si="31"/>
        <v>9</v>
      </c>
      <c r="V17" s="30">
        <f t="shared" si="31"/>
        <v>1</v>
      </c>
      <c r="W17" s="30">
        <f t="shared" si="31"/>
        <v>1</v>
      </c>
      <c r="X17" s="31">
        <f t="shared" si="31"/>
        <v>9</v>
      </c>
      <c r="Y17" s="30">
        <f t="shared" si="31"/>
        <v>1</v>
      </c>
      <c r="Z17" s="30">
        <f t="shared" si="31"/>
        <v>1</v>
      </c>
      <c r="AA17" s="31">
        <f t="shared" si="31"/>
        <v>9</v>
      </c>
      <c r="AB17" s="30">
        <f t="shared" si="31"/>
        <v>1</v>
      </c>
      <c r="AC17" s="30">
        <f t="shared" si="31"/>
        <v>1</v>
      </c>
      <c r="AD17" s="31">
        <f t="shared" si="31"/>
        <v>9</v>
      </c>
      <c r="AE17" s="30">
        <f t="shared" si="31"/>
        <v>1</v>
      </c>
      <c r="AF17" s="30">
        <f t="shared" si="31"/>
        <v>1</v>
      </c>
      <c r="AG17" s="31">
        <f t="shared" si="31"/>
        <v>9</v>
      </c>
      <c r="AH17" s="30">
        <f t="shared" si="31"/>
        <v>1</v>
      </c>
      <c r="AI17" s="30">
        <f t="shared" si="31"/>
        <v>1</v>
      </c>
      <c r="AJ17" s="31">
        <f t="shared" si="31"/>
        <v>9</v>
      </c>
    </row>
    <row r="18" spans="1:36" x14ac:dyDescent="0.25">
      <c r="A18" s="9" t="s">
        <v>19</v>
      </c>
      <c r="B18" s="17" t="s">
        <v>28</v>
      </c>
      <c r="C18" s="8" t="s">
        <v>21</v>
      </c>
      <c r="D18" s="8" t="s">
        <v>3</v>
      </c>
      <c r="E18" s="9" t="s">
        <v>41</v>
      </c>
      <c r="F18" s="17" t="s">
        <v>61</v>
      </c>
      <c r="G18" s="30">
        <v>5</v>
      </c>
      <c r="H18" s="30">
        <v>5</v>
      </c>
      <c r="I18" s="31">
        <v>80</v>
      </c>
      <c r="J18" s="30">
        <v>5</v>
      </c>
      <c r="K18" s="30">
        <v>5</v>
      </c>
      <c r="L18" s="31">
        <f>I18+2.5</f>
        <v>82.5</v>
      </c>
      <c r="M18" s="30">
        <v>5</v>
      </c>
      <c r="N18" s="30">
        <v>5</v>
      </c>
      <c r="O18" s="31">
        <f>L18+2.5</f>
        <v>85</v>
      </c>
      <c r="P18" s="30">
        <v>5</v>
      </c>
      <c r="Q18" s="30">
        <v>5</v>
      </c>
      <c r="R18" s="31">
        <f>O18+2.5</f>
        <v>87.5</v>
      </c>
      <c r="S18" s="30">
        <v>5</v>
      </c>
      <c r="T18" s="30">
        <v>5</v>
      </c>
      <c r="U18" s="31">
        <f>R18+2.5</f>
        <v>90</v>
      </c>
      <c r="V18" s="30">
        <v>5</v>
      </c>
      <c r="W18" s="30">
        <v>5</v>
      </c>
      <c r="X18" s="31">
        <f>U18+2.5</f>
        <v>92.5</v>
      </c>
      <c r="Y18" s="30">
        <v>5</v>
      </c>
      <c r="Z18" s="30">
        <v>5</v>
      </c>
      <c r="AA18" s="31">
        <f>X18+2.5</f>
        <v>95</v>
      </c>
      <c r="AB18" s="30">
        <v>5</v>
      </c>
      <c r="AC18" s="30">
        <v>5</v>
      </c>
      <c r="AD18" s="31">
        <f>AA18+2.5</f>
        <v>97.5</v>
      </c>
      <c r="AE18" s="30">
        <v>5</v>
      </c>
      <c r="AF18" s="30">
        <v>5</v>
      </c>
      <c r="AG18" s="31">
        <f>AD18+2.5</f>
        <v>100</v>
      </c>
      <c r="AH18" s="30">
        <v>5</v>
      </c>
      <c r="AI18" s="30">
        <v>5</v>
      </c>
      <c r="AJ18" s="31">
        <f>AG18+2.5</f>
        <v>102.5</v>
      </c>
    </row>
    <row r="19" spans="1:36" x14ac:dyDescent="0.25">
      <c r="A19" s="1" t="s">
        <v>19</v>
      </c>
      <c r="B19" s="18" t="s">
        <v>28</v>
      </c>
      <c r="C19" t="s">
        <v>21</v>
      </c>
      <c r="D19" t="s">
        <v>4</v>
      </c>
      <c r="E19" s="1" t="s">
        <v>43</v>
      </c>
      <c r="F19" s="18" t="s">
        <v>71</v>
      </c>
      <c r="G19" s="32">
        <v>12</v>
      </c>
      <c r="H19" s="32">
        <v>4</v>
      </c>
      <c r="I19" s="33">
        <v>100</v>
      </c>
      <c r="J19" s="32">
        <f t="shared" ref="J19:L22" si="32">G19</f>
        <v>12</v>
      </c>
      <c r="K19" s="32">
        <f t="shared" si="32"/>
        <v>4</v>
      </c>
      <c r="L19" s="33">
        <v>100</v>
      </c>
      <c r="M19" s="32">
        <f>J19</f>
        <v>12</v>
      </c>
      <c r="N19" s="32">
        <f>K19</f>
        <v>4</v>
      </c>
      <c r="O19" s="33">
        <f>I19+5</f>
        <v>105</v>
      </c>
      <c r="P19" s="32">
        <f t="shared" ref="P19:Q22" si="33">M19</f>
        <v>12</v>
      </c>
      <c r="Q19" s="32">
        <f t="shared" si="33"/>
        <v>4</v>
      </c>
      <c r="R19" s="33">
        <f>L19+5</f>
        <v>105</v>
      </c>
      <c r="S19" s="32">
        <f t="shared" ref="S19:T22" si="34">P19</f>
        <v>12</v>
      </c>
      <c r="T19" s="32">
        <f t="shared" si="34"/>
        <v>4</v>
      </c>
      <c r="U19" s="33">
        <f t="shared" ref="U19" si="35">O19+5</f>
        <v>110</v>
      </c>
      <c r="V19" s="32">
        <f t="shared" ref="V19:W22" si="36">S19</f>
        <v>12</v>
      </c>
      <c r="W19" s="32">
        <f t="shared" si="36"/>
        <v>4</v>
      </c>
      <c r="X19" s="33">
        <f t="shared" ref="X19" si="37">R19+5</f>
        <v>110</v>
      </c>
      <c r="Y19" s="32">
        <f t="shared" ref="Y19:Z22" si="38">V19</f>
        <v>12</v>
      </c>
      <c r="Z19" s="32">
        <f t="shared" si="38"/>
        <v>4</v>
      </c>
      <c r="AA19" s="33">
        <f t="shared" ref="AA19" si="39">U19+5</f>
        <v>115</v>
      </c>
      <c r="AB19" s="32">
        <f t="shared" ref="AB19:AC22" si="40">Y19</f>
        <v>12</v>
      </c>
      <c r="AC19" s="32">
        <f t="shared" si="40"/>
        <v>4</v>
      </c>
      <c r="AD19" s="33">
        <f t="shared" ref="AD19" si="41">X19+5</f>
        <v>115</v>
      </c>
      <c r="AE19" s="32">
        <f t="shared" ref="AE19:AF22" si="42">AB19</f>
        <v>12</v>
      </c>
      <c r="AF19" s="32">
        <f t="shared" si="42"/>
        <v>4</v>
      </c>
      <c r="AG19" s="33">
        <f t="shared" ref="AG19" si="43">AA19+5</f>
        <v>120</v>
      </c>
      <c r="AH19" s="32">
        <f t="shared" ref="AH19:AI22" si="44">AE19</f>
        <v>12</v>
      </c>
      <c r="AI19" s="32">
        <f t="shared" si="44"/>
        <v>4</v>
      </c>
      <c r="AJ19" s="33">
        <f t="shared" ref="AJ19" si="45">AD19+5</f>
        <v>120</v>
      </c>
    </row>
    <row r="20" spans="1:36" x14ac:dyDescent="0.25">
      <c r="A20" s="1" t="s">
        <v>19</v>
      </c>
      <c r="B20" s="18" t="s">
        <v>28</v>
      </c>
      <c r="C20" t="s">
        <v>21</v>
      </c>
      <c r="D20" t="s">
        <v>4</v>
      </c>
      <c r="E20" s="1" t="s">
        <v>44</v>
      </c>
      <c r="F20" s="18" t="s">
        <v>71</v>
      </c>
      <c r="G20" s="32">
        <v>6</v>
      </c>
      <c r="H20" s="32">
        <v>4</v>
      </c>
      <c r="I20" s="33">
        <v>0</v>
      </c>
      <c r="J20" s="32">
        <f t="shared" si="32"/>
        <v>6</v>
      </c>
      <c r="K20" s="32">
        <f t="shared" si="32"/>
        <v>4</v>
      </c>
      <c r="L20" s="33">
        <f>I20</f>
        <v>0</v>
      </c>
      <c r="M20" s="32">
        <v>7</v>
      </c>
      <c r="N20" s="32">
        <f>K20</f>
        <v>4</v>
      </c>
      <c r="O20" s="33">
        <f>L20</f>
        <v>0</v>
      </c>
      <c r="P20" s="32">
        <v>7</v>
      </c>
      <c r="Q20" s="32">
        <f t="shared" si="33"/>
        <v>4</v>
      </c>
      <c r="R20" s="33">
        <f>O20</f>
        <v>0</v>
      </c>
      <c r="S20" s="32">
        <v>9</v>
      </c>
      <c r="T20" s="32">
        <f t="shared" si="34"/>
        <v>4</v>
      </c>
      <c r="U20" s="33">
        <f>R20</f>
        <v>0</v>
      </c>
      <c r="V20" s="32">
        <v>9</v>
      </c>
      <c r="W20" s="32">
        <f t="shared" si="36"/>
        <v>4</v>
      </c>
      <c r="X20" s="33">
        <f>U20</f>
        <v>0</v>
      </c>
      <c r="Y20" s="32">
        <v>9</v>
      </c>
      <c r="Z20" s="32">
        <f t="shared" si="38"/>
        <v>4</v>
      </c>
      <c r="AA20" s="33">
        <f>X20</f>
        <v>0</v>
      </c>
      <c r="AB20" s="32">
        <v>9</v>
      </c>
      <c r="AC20" s="32">
        <f t="shared" si="40"/>
        <v>4</v>
      </c>
      <c r="AD20" s="33">
        <f>AA20</f>
        <v>0</v>
      </c>
      <c r="AE20" s="32">
        <v>10</v>
      </c>
      <c r="AF20" s="32">
        <f t="shared" si="42"/>
        <v>4</v>
      </c>
      <c r="AG20" s="33">
        <f>AD20</f>
        <v>0</v>
      </c>
      <c r="AH20" s="32">
        <v>10</v>
      </c>
      <c r="AI20" s="32">
        <f t="shared" si="44"/>
        <v>4</v>
      </c>
      <c r="AJ20" s="33">
        <f>AG20</f>
        <v>0</v>
      </c>
    </row>
    <row r="21" spans="1:36" x14ac:dyDescent="0.25">
      <c r="A21" s="1" t="s">
        <v>19</v>
      </c>
      <c r="B21" s="18" t="s">
        <v>28</v>
      </c>
      <c r="C21" t="s">
        <v>21</v>
      </c>
      <c r="D21" t="s">
        <v>4</v>
      </c>
      <c r="E21" s="1" t="s">
        <v>77</v>
      </c>
      <c r="F21" s="18" t="s">
        <v>71</v>
      </c>
      <c r="G21" s="32">
        <v>12</v>
      </c>
      <c r="H21" s="32">
        <v>3</v>
      </c>
      <c r="I21" s="33">
        <v>80</v>
      </c>
      <c r="J21" s="32">
        <f t="shared" si="32"/>
        <v>12</v>
      </c>
      <c r="K21" s="32">
        <f t="shared" si="32"/>
        <v>3</v>
      </c>
      <c r="L21" s="33">
        <f t="shared" si="32"/>
        <v>80</v>
      </c>
      <c r="M21" s="32">
        <f t="shared" ref="M21" si="46">J21</f>
        <v>12</v>
      </c>
      <c r="N21" s="32">
        <f t="shared" ref="N21" si="47">K21</f>
        <v>3</v>
      </c>
      <c r="O21" s="33">
        <f t="shared" ref="O21" si="48">L21</f>
        <v>80</v>
      </c>
      <c r="P21" s="32">
        <f t="shared" ref="P21" si="49">M21</f>
        <v>12</v>
      </c>
      <c r="Q21" s="32">
        <f t="shared" si="33"/>
        <v>3</v>
      </c>
      <c r="R21" s="33">
        <f t="shared" ref="R21" si="50">O21</f>
        <v>80</v>
      </c>
      <c r="S21" s="32">
        <f t="shared" ref="S21" si="51">P21</f>
        <v>12</v>
      </c>
      <c r="T21" s="32">
        <f t="shared" si="34"/>
        <v>3</v>
      </c>
      <c r="U21" s="33">
        <f t="shared" ref="U21" si="52">R21</f>
        <v>80</v>
      </c>
      <c r="V21" s="32">
        <f t="shared" ref="V21" si="53">S21</f>
        <v>12</v>
      </c>
      <c r="W21" s="32">
        <f t="shared" si="36"/>
        <v>3</v>
      </c>
      <c r="X21" s="33">
        <f t="shared" ref="X21" si="54">U21</f>
        <v>80</v>
      </c>
      <c r="Y21" s="32">
        <f t="shared" ref="Y21" si="55">V21</f>
        <v>12</v>
      </c>
      <c r="Z21" s="32">
        <f t="shared" si="38"/>
        <v>3</v>
      </c>
      <c r="AA21" s="33">
        <f t="shared" ref="AA21" si="56">X21</f>
        <v>80</v>
      </c>
      <c r="AB21" s="32">
        <f t="shared" ref="AB21" si="57">Y21</f>
        <v>12</v>
      </c>
      <c r="AC21" s="32">
        <f t="shared" si="40"/>
        <v>3</v>
      </c>
      <c r="AD21" s="33">
        <f t="shared" ref="AD21" si="58">AA21</f>
        <v>80</v>
      </c>
      <c r="AE21" s="32">
        <f t="shared" ref="AE21" si="59">AB21</f>
        <v>12</v>
      </c>
      <c r="AF21" s="32">
        <f t="shared" si="42"/>
        <v>3</v>
      </c>
      <c r="AG21" s="33">
        <f t="shared" ref="AG21" si="60">AD21</f>
        <v>80</v>
      </c>
      <c r="AH21" s="32">
        <f t="shared" ref="AH21" si="61">AE21</f>
        <v>12</v>
      </c>
      <c r="AI21" s="32">
        <f t="shared" si="44"/>
        <v>3</v>
      </c>
      <c r="AJ21" s="33">
        <f t="shared" ref="AJ21" si="62">AG21</f>
        <v>80</v>
      </c>
    </row>
    <row r="22" spans="1:36" x14ac:dyDescent="0.25">
      <c r="A22" s="11" t="s">
        <v>19</v>
      </c>
      <c r="B22" s="19" t="s">
        <v>28</v>
      </c>
      <c r="C22" s="10" t="s">
        <v>21</v>
      </c>
      <c r="D22" s="10" t="s">
        <v>76</v>
      </c>
      <c r="E22" s="11" t="s">
        <v>45</v>
      </c>
      <c r="F22" s="19" t="s">
        <v>71</v>
      </c>
      <c r="G22" s="34">
        <v>8</v>
      </c>
      <c r="H22" s="34">
        <v>3</v>
      </c>
      <c r="I22" s="35">
        <v>30</v>
      </c>
      <c r="J22" s="34">
        <f t="shared" si="32"/>
        <v>8</v>
      </c>
      <c r="K22" s="34">
        <f t="shared" si="32"/>
        <v>3</v>
      </c>
      <c r="L22" s="35">
        <v>30</v>
      </c>
      <c r="M22" s="34">
        <f>J22</f>
        <v>8</v>
      </c>
      <c r="N22" s="34">
        <f>K22</f>
        <v>3</v>
      </c>
      <c r="O22" s="35">
        <v>30</v>
      </c>
      <c r="P22" s="34">
        <f>M22</f>
        <v>8</v>
      </c>
      <c r="Q22" s="34">
        <f t="shared" si="33"/>
        <v>3</v>
      </c>
      <c r="R22" s="35">
        <v>30</v>
      </c>
      <c r="S22" s="34">
        <f>P22</f>
        <v>8</v>
      </c>
      <c r="T22" s="34">
        <f t="shared" si="34"/>
        <v>3</v>
      </c>
      <c r="U22" s="35">
        <f>I22+5</f>
        <v>35</v>
      </c>
      <c r="V22" s="34">
        <f>S22</f>
        <v>8</v>
      </c>
      <c r="W22" s="34">
        <f t="shared" si="36"/>
        <v>3</v>
      </c>
      <c r="X22" s="35">
        <f>L22+5</f>
        <v>35</v>
      </c>
      <c r="Y22" s="34">
        <f>V22</f>
        <v>8</v>
      </c>
      <c r="Z22" s="34">
        <f t="shared" si="38"/>
        <v>3</v>
      </c>
      <c r="AA22" s="35">
        <f>O22+5</f>
        <v>35</v>
      </c>
      <c r="AB22" s="34">
        <f>Y22</f>
        <v>8</v>
      </c>
      <c r="AC22" s="34">
        <f t="shared" si="40"/>
        <v>3</v>
      </c>
      <c r="AD22" s="35">
        <f>R22+5</f>
        <v>35</v>
      </c>
      <c r="AE22" s="34">
        <f>AB22</f>
        <v>8</v>
      </c>
      <c r="AF22" s="34">
        <f t="shared" si="42"/>
        <v>3</v>
      </c>
      <c r="AG22" s="35">
        <f>U22+5</f>
        <v>40</v>
      </c>
      <c r="AH22" s="34">
        <f>AE22</f>
        <v>8</v>
      </c>
      <c r="AI22" s="34">
        <f t="shared" si="44"/>
        <v>3</v>
      </c>
      <c r="AJ22" s="35">
        <f>X22+5</f>
        <v>40</v>
      </c>
    </row>
    <row r="23" spans="1:36" x14ac:dyDescent="0.25">
      <c r="A23" s="1" t="s">
        <v>19</v>
      </c>
      <c r="B23" s="18" t="s">
        <v>28</v>
      </c>
      <c r="C23" t="s">
        <v>21</v>
      </c>
      <c r="D23" t="s">
        <v>6</v>
      </c>
      <c r="E23" s="1" t="s">
        <v>12</v>
      </c>
      <c r="F23" s="18" t="s">
        <v>70</v>
      </c>
      <c r="G23" s="32">
        <v>15</v>
      </c>
      <c r="H23" s="32">
        <v>3</v>
      </c>
      <c r="I23" s="33">
        <v>0</v>
      </c>
      <c r="J23" s="32">
        <v>15</v>
      </c>
      <c r="K23" s="32">
        <v>3</v>
      </c>
      <c r="L23" s="33">
        <v>0</v>
      </c>
      <c r="M23" s="32">
        <v>15</v>
      </c>
      <c r="N23" s="32">
        <v>3</v>
      </c>
      <c r="O23" s="33">
        <v>0</v>
      </c>
      <c r="P23" s="32">
        <v>15</v>
      </c>
      <c r="Q23" s="32">
        <v>3</v>
      </c>
      <c r="R23" s="33">
        <v>0</v>
      </c>
      <c r="S23" s="32">
        <v>15</v>
      </c>
      <c r="T23" s="32">
        <v>3</v>
      </c>
      <c r="U23" s="33">
        <v>5</v>
      </c>
      <c r="V23" s="32">
        <v>15</v>
      </c>
      <c r="W23" s="32">
        <v>3</v>
      </c>
      <c r="X23" s="33">
        <v>5</v>
      </c>
      <c r="Y23" s="32">
        <v>15</v>
      </c>
      <c r="Z23" s="32">
        <v>3</v>
      </c>
      <c r="AA23" s="33">
        <v>5</v>
      </c>
      <c r="AB23" s="32">
        <v>15</v>
      </c>
      <c r="AC23" s="32">
        <v>3</v>
      </c>
      <c r="AD23" s="33">
        <v>5</v>
      </c>
      <c r="AE23" s="32">
        <v>15</v>
      </c>
      <c r="AF23" s="32">
        <v>3</v>
      </c>
      <c r="AG23" s="33">
        <v>10</v>
      </c>
      <c r="AH23" s="32">
        <v>15</v>
      </c>
      <c r="AI23" s="32">
        <v>3</v>
      </c>
      <c r="AJ23" s="33">
        <v>10</v>
      </c>
    </row>
    <row r="24" spans="1:36" x14ac:dyDescent="0.25">
      <c r="A24" s="3" t="s">
        <v>19</v>
      </c>
      <c r="B24" s="20" t="s">
        <v>28</v>
      </c>
      <c r="C24" s="2" t="s">
        <v>21</v>
      </c>
      <c r="D24" s="2" t="s">
        <v>6</v>
      </c>
      <c r="E24" s="3" t="s">
        <v>13</v>
      </c>
      <c r="F24" s="20" t="s">
        <v>70</v>
      </c>
      <c r="G24" s="36">
        <v>10</v>
      </c>
      <c r="H24" s="36">
        <v>3</v>
      </c>
      <c r="I24" s="37">
        <v>0</v>
      </c>
      <c r="J24" s="36">
        <v>10</v>
      </c>
      <c r="K24" s="36">
        <v>3</v>
      </c>
      <c r="L24" s="37">
        <v>0</v>
      </c>
      <c r="M24" s="36">
        <v>10</v>
      </c>
      <c r="N24" s="36">
        <v>3</v>
      </c>
      <c r="O24" s="37">
        <v>0</v>
      </c>
      <c r="P24" s="36">
        <v>10</v>
      </c>
      <c r="Q24" s="36">
        <v>3</v>
      </c>
      <c r="R24" s="37">
        <v>0</v>
      </c>
      <c r="S24" s="36">
        <v>10</v>
      </c>
      <c r="T24" s="36">
        <v>3</v>
      </c>
      <c r="U24" s="37">
        <v>0</v>
      </c>
      <c r="V24" s="36">
        <v>10</v>
      </c>
      <c r="W24" s="36">
        <v>3</v>
      </c>
      <c r="X24" s="37">
        <v>0</v>
      </c>
      <c r="Y24" s="36">
        <v>10</v>
      </c>
      <c r="Z24" s="36">
        <v>3</v>
      </c>
      <c r="AA24" s="37">
        <v>0</v>
      </c>
      <c r="AB24" s="36">
        <v>10</v>
      </c>
      <c r="AC24" s="36">
        <v>3</v>
      </c>
      <c r="AD24" s="37">
        <v>0</v>
      </c>
      <c r="AE24" s="36">
        <v>10</v>
      </c>
      <c r="AF24" s="36">
        <v>3</v>
      </c>
      <c r="AG24" s="37">
        <v>0</v>
      </c>
      <c r="AH24" s="36">
        <v>10</v>
      </c>
      <c r="AI24" s="36">
        <v>3</v>
      </c>
      <c r="AJ24" s="37">
        <v>0</v>
      </c>
    </row>
    <row r="25" spans="1:36" x14ac:dyDescent="0.25">
      <c r="A25" s="9" t="s">
        <v>22</v>
      </c>
      <c r="B25" s="17"/>
      <c r="C25" s="8" t="s">
        <v>31</v>
      </c>
      <c r="D25" s="8" t="s">
        <v>34</v>
      </c>
      <c r="E25" s="9" t="s">
        <v>47</v>
      </c>
      <c r="F25" s="17" t="s">
        <v>78</v>
      </c>
      <c r="G25" s="30">
        <v>1</v>
      </c>
      <c r="H25" s="30">
        <v>10</v>
      </c>
      <c r="I25" s="31">
        <v>500</v>
      </c>
      <c r="J25" s="30">
        <f t="shared" ref="J25:AJ25" si="63">G25</f>
        <v>1</v>
      </c>
      <c r="K25" s="30">
        <f t="shared" si="63"/>
        <v>10</v>
      </c>
      <c r="L25" s="31">
        <f t="shared" si="63"/>
        <v>500</v>
      </c>
      <c r="M25" s="30">
        <f t="shared" si="63"/>
        <v>1</v>
      </c>
      <c r="N25" s="30">
        <f t="shared" si="63"/>
        <v>10</v>
      </c>
      <c r="O25" s="31">
        <f t="shared" si="63"/>
        <v>500</v>
      </c>
      <c r="P25" s="30">
        <f t="shared" si="63"/>
        <v>1</v>
      </c>
      <c r="Q25" s="30">
        <f t="shared" si="63"/>
        <v>10</v>
      </c>
      <c r="R25" s="31">
        <f t="shared" si="63"/>
        <v>500</v>
      </c>
      <c r="S25" s="30">
        <f t="shared" si="63"/>
        <v>1</v>
      </c>
      <c r="T25" s="30">
        <f t="shared" si="63"/>
        <v>10</v>
      </c>
      <c r="U25" s="31">
        <f t="shared" si="63"/>
        <v>500</v>
      </c>
      <c r="V25" s="30">
        <f t="shared" si="63"/>
        <v>1</v>
      </c>
      <c r="W25" s="30">
        <f t="shared" si="63"/>
        <v>10</v>
      </c>
      <c r="X25" s="31">
        <f t="shared" si="63"/>
        <v>500</v>
      </c>
      <c r="Y25" s="30">
        <f t="shared" si="63"/>
        <v>1</v>
      </c>
      <c r="Z25" s="30">
        <f t="shared" si="63"/>
        <v>10</v>
      </c>
      <c r="AA25" s="31">
        <f t="shared" si="63"/>
        <v>500</v>
      </c>
      <c r="AB25" s="30">
        <f t="shared" si="63"/>
        <v>1</v>
      </c>
      <c r="AC25" s="30">
        <f t="shared" si="63"/>
        <v>10</v>
      </c>
      <c r="AD25" s="31">
        <f t="shared" si="63"/>
        <v>500</v>
      </c>
      <c r="AE25" s="30">
        <f t="shared" si="63"/>
        <v>1</v>
      </c>
      <c r="AF25" s="30">
        <f t="shared" si="63"/>
        <v>10</v>
      </c>
      <c r="AG25" s="31">
        <f t="shared" si="63"/>
        <v>500</v>
      </c>
      <c r="AH25" s="30">
        <f t="shared" si="63"/>
        <v>1</v>
      </c>
      <c r="AI25" s="30">
        <f t="shared" si="63"/>
        <v>10</v>
      </c>
      <c r="AJ25" s="31">
        <f t="shared" si="63"/>
        <v>500</v>
      </c>
    </row>
    <row r="26" spans="1:36" x14ac:dyDescent="0.25">
      <c r="A26" s="1" t="s">
        <v>22</v>
      </c>
      <c r="B26" s="18"/>
      <c r="C26" t="s">
        <v>31</v>
      </c>
      <c r="D26" t="s">
        <v>32</v>
      </c>
      <c r="E26" s="1" t="s">
        <v>46</v>
      </c>
      <c r="F26" s="18" t="s">
        <v>73</v>
      </c>
      <c r="G26" s="32">
        <v>15</v>
      </c>
      <c r="H26" s="32">
        <v>5</v>
      </c>
      <c r="I26" s="33">
        <v>20</v>
      </c>
      <c r="J26" s="32">
        <f>G26</f>
        <v>15</v>
      </c>
      <c r="K26" s="32">
        <f>H26</f>
        <v>5</v>
      </c>
      <c r="L26" s="33">
        <f>I26</f>
        <v>20</v>
      </c>
      <c r="M26" s="32">
        <f>J26</f>
        <v>15</v>
      </c>
      <c r="N26" s="32">
        <f>K26</f>
        <v>5</v>
      </c>
      <c r="O26" s="33">
        <v>22</v>
      </c>
      <c r="P26" s="32">
        <f t="shared" ref="P26:AJ34" si="64">M26</f>
        <v>15</v>
      </c>
      <c r="Q26" s="32">
        <f t="shared" si="64"/>
        <v>5</v>
      </c>
      <c r="R26" s="33">
        <f t="shared" si="64"/>
        <v>22</v>
      </c>
      <c r="S26" s="32">
        <f t="shared" si="64"/>
        <v>15</v>
      </c>
      <c r="T26" s="32">
        <f t="shared" si="64"/>
        <v>5</v>
      </c>
      <c r="U26" s="33">
        <v>24</v>
      </c>
      <c r="V26" s="32">
        <f t="shared" si="64"/>
        <v>15</v>
      </c>
      <c r="W26" s="32">
        <f t="shared" si="64"/>
        <v>5</v>
      </c>
      <c r="X26" s="33">
        <f t="shared" si="64"/>
        <v>24</v>
      </c>
      <c r="Y26" s="32">
        <f t="shared" si="64"/>
        <v>15</v>
      </c>
      <c r="Z26" s="32">
        <f t="shared" si="64"/>
        <v>5</v>
      </c>
      <c r="AA26" s="33">
        <v>26</v>
      </c>
      <c r="AB26" s="32">
        <f t="shared" si="64"/>
        <v>15</v>
      </c>
      <c r="AC26" s="32">
        <f t="shared" si="64"/>
        <v>5</v>
      </c>
      <c r="AD26" s="33">
        <f t="shared" si="64"/>
        <v>26</v>
      </c>
      <c r="AE26" s="32">
        <f t="shared" si="64"/>
        <v>15</v>
      </c>
      <c r="AF26" s="32">
        <f t="shared" si="64"/>
        <v>5</v>
      </c>
      <c r="AG26" s="33">
        <v>28</v>
      </c>
      <c r="AH26" s="32">
        <f t="shared" si="64"/>
        <v>15</v>
      </c>
      <c r="AI26" s="32">
        <f t="shared" si="64"/>
        <v>5</v>
      </c>
      <c r="AJ26" s="33">
        <f t="shared" si="64"/>
        <v>28</v>
      </c>
    </row>
    <row r="27" spans="1:36" x14ac:dyDescent="0.25">
      <c r="A27" s="1" t="s">
        <v>22</v>
      </c>
      <c r="B27" s="18"/>
      <c r="C27" t="s">
        <v>31</v>
      </c>
      <c r="D27" t="s">
        <v>32</v>
      </c>
      <c r="E27" s="1" t="s">
        <v>48</v>
      </c>
      <c r="F27" s="18" t="s">
        <v>73</v>
      </c>
      <c r="G27" s="32">
        <v>8</v>
      </c>
      <c r="H27" s="32">
        <v>5</v>
      </c>
      <c r="I27" s="33">
        <v>50</v>
      </c>
      <c r="J27" s="32">
        <f t="shared" ref="J27:J30" si="65">G27</f>
        <v>8</v>
      </c>
      <c r="K27" s="32">
        <f t="shared" ref="K27:K34" si="66">H27</f>
        <v>5</v>
      </c>
      <c r="L27" s="33">
        <f t="shared" ref="L27:L33" si="67">I27</f>
        <v>50</v>
      </c>
      <c r="M27" s="32">
        <f t="shared" ref="M27:M34" si="68">J27</f>
        <v>8</v>
      </c>
      <c r="N27" s="32">
        <f t="shared" ref="N27:N34" si="69">K27</f>
        <v>5</v>
      </c>
      <c r="O27" s="33">
        <v>52.5</v>
      </c>
      <c r="P27" s="32">
        <f t="shared" si="64"/>
        <v>8</v>
      </c>
      <c r="Q27" s="32">
        <f t="shared" si="64"/>
        <v>5</v>
      </c>
      <c r="R27" s="33">
        <f t="shared" si="64"/>
        <v>52.5</v>
      </c>
      <c r="S27" s="32">
        <f t="shared" si="64"/>
        <v>8</v>
      </c>
      <c r="T27" s="32">
        <f t="shared" si="64"/>
        <v>5</v>
      </c>
      <c r="U27" s="33">
        <v>55</v>
      </c>
      <c r="V27" s="32">
        <f t="shared" si="64"/>
        <v>8</v>
      </c>
      <c r="W27" s="32">
        <f t="shared" si="64"/>
        <v>5</v>
      </c>
      <c r="X27" s="33">
        <f t="shared" si="64"/>
        <v>55</v>
      </c>
      <c r="Y27" s="32">
        <f t="shared" si="64"/>
        <v>8</v>
      </c>
      <c r="Z27" s="32">
        <f t="shared" si="64"/>
        <v>5</v>
      </c>
      <c r="AA27" s="33">
        <v>60</v>
      </c>
      <c r="AB27" s="32">
        <f t="shared" si="64"/>
        <v>8</v>
      </c>
      <c r="AC27" s="32">
        <f t="shared" si="64"/>
        <v>5</v>
      </c>
      <c r="AD27" s="33">
        <f t="shared" si="64"/>
        <v>60</v>
      </c>
      <c r="AE27" s="32">
        <v>10</v>
      </c>
      <c r="AF27" s="32">
        <f t="shared" si="64"/>
        <v>5</v>
      </c>
      <c r="AG27" s="33">
        <f t="shared" si="64"/>
        <v>60</v>
      </c>
      <c r="AH27" s="32">
        <f t="shared" si="64"/>
        <v>10</v>
      </c>
      <c r="AI27" s="32">
        <f t="shared" si="64"/>
        <v>5</v>
      </c>
      <c r="AJ27" s="33">
        <f t="shared" si="64"/>
        <v>60</v>
      </c>
    </row>
    <row r="28" spans="1:36" x14ac:dyDescent="0.25">
      <c r="A28" s="1" t="s">
        <v>22</v>
      </c>
      <c r="B28" s="18"/>
      <c r="C28" t="s">
        <v>31</v>
      </c>
      <c r="D28" t="s">
        <v>32</v>
      </c>
      <c r="E28" s="1" t="s">
        <v>49</v>
      </c>
      <c r="F28" s="18" t="s">
        <v>73</v>
      </c>
      <c r="G28" s="32">
        <v>10</v>
      </c>
      <c r="H28" s="32">
        <v>5</v>
      </c>
      <c r="I28" s="33">
        <v>50</v>
      </c>
      <c r="J28" s="32">
        <f t="shared" si="65"/>
        <v>10</v>
      </c>
      <c r="K28" s="32">
        <f t="shared" si="66"/>
        <v>5</v>
      </c>
      <c r="L28" s="33">
        <f t="shared" si="67"/>
        <v>50</v>
      </c>
      <c r="M28" s="32">
        <f t="shared" si="68"/>
        <v>10</v>
      </c>
      <c r="N28" s="32">
        <f t="shared" si="69"/>
        <v>5</v>
      </c>
      <c r="O28" s="33">
        <v>52.5</v>
      </c>
      <c r="P28" s="32">
        <f t="shared" si="64"/>
        <v>10</v>
      </c>
      <c r="Q28" s="32">
        <f t="shared" si="64"/>
        <v>5</v>
      </c>
      <c r="R28" s="33">
        <f t="shared" si="64"/>
        <v>52.5</v>
      </c>
      <c r="S28" s="32">
        <f t="shared" si="64"/>
        <v>10</v>
      </c>
      <c r="T28" s="32">
        <f t="shared" si="64"/>
        <v>5</v>
      </c>
      <c r="U28" s="33">
        <v>55</v>
      </c>
      <c r="V28" s="32">
        <f t="shared" si="64"/>
        <v>10</v>
      </c>
      <c r="W28" s="32">
        <f t="shared" si="64"/>
        <v>5</v>
      </c>
      <c r="X28" s="33">
        <f t="shared" si="64"/>
        <v>55</v>
      </c>
      <c r="Y28" s="32">
        <f t="shared" si="64"/>
        <v>10</v>
      </c>
      <c r="Z28" s="32">
        <f t="shared" si="64"/>
        <v>5</v>
      </c>
      <c r="AA28" s="33">
        <v>60</v>
      </c>
      <c r="AB28" s="32">
        <f t="shared" si="64"/>
        <v>10</v>
      </c>
      <c r="AC28" s="32">
        <f t="shared" si="64"/>
        <v>5</v>
      </c>
      <c r="AD28" s="33">
        <f t="shared" si="64"/>
        <v>60</v>
      </c>
      <c r="AE28" s="32">
        <v>12</v>
      </c>
      <c r="AF28" s="32">
        <f t="shared" si="64"/>
        <v>5</v>
      </c>
      <c r="AG28" s="33">
        <f t="shared" si="64"/>
        <v>60</v>
      </c>
      <c r="AH28" s="32">
        <f t="shared" si="64"/>
        <v>12</v>
      </c>
      <c r="AI28" s="32">
        <f t="shared" si="64"/>
        <v>5</v>
      </c>
      <c r="AJ28" s="33">
        <f t="shared" si="64"/>
        <v>60</v>
      </c>
    </row>
    <row r="29" spans="1:36" x14ac:dyDescent="0.25">
      <c r="A29" s="11" t="s">
        <v>22</v>
      </c>
      <c r="B29" s="19"/>
      <c r="C29" s="10" t="s">
        <v>31</v>
      </c>
      <c r="D29" s="10" t="s">
        <v>32</v>
      </c>
      <c r="E29" s="11" t="s">
        <v>50</v>
      </c>
      <c r="F29" s="19" t="s">
        <v>73</v>
      </c>
      <c r="G29" s="34">
        <v>6</v>
      </c>
      <c r="H29" s="34">
        <v>5</v>
      </c>
      <c r="I29" s="35">
        <v>50</v>
      </c>
      <c r="J29" s="34">
        <f t="shared" si="65"/>
        <v>6</v>
      </c>
      <c r="K29" s="34">
        <f t="shared" si="66"/>
        <v>5</v>
      </c>
      <c r="L29" s="35">
        <f t="shared" si="67"/>
        <v>50</v>
      </c>
      <c r="M29" s="34">
        <f t="shared" si="68"/>
        <v>6</v>
      </c>
      <c r="N29" s="34">
        <f t="shared" si="69"/>
        <v>5</v>
      </c>
      <c r="O29" s="35">
        <v>52.5</v>
      </c>
      <c r="P29" s="34">
        <f t="shared" si="64"/>
        <v>6</v>
      </c>
      <c r="Q29" s="34">
        <f t="shared" si="64"/>
        <v>5</v>
      </c>
      <c r="R29" s="35">
        <f t="shared" si="64"/>
        <v>52.5</v>
      </c>
      <c r="S29" s="34">
        <f t="shared" si="64"/>
        <v>6</v>
      </c>
      <c r="T29" s="34">
        <f t="shared" si="64"/>
        <v>5</v>
      </c>
      <c r="U29" s="35">
        <v>55</v>
      </c>
      <c r="V29" s="34">
        <f t="shared" si="64"/>
        <v>6</v>
      </c>
      <c r="W29" s="34">
        <f t="shared" si="64"/>
        <v>5</v>
      </c>
      <c r="X29" s="35">
        <f t="shared" si="64"/>
        <v>55</v>
      </c>
      <c r="Y29" s="34">
        <f t="shared" si="64"/>
        <v>6</v>
      </c>
      <c r="Z29" s="34">
        <f t="shared" si="64"/>
        <v>5</v>
      </c>
      <c r="AA29" s="35">
        <v>60</v>
      </c>
      <c r="AB29" s="34">
        <f t="shared" si="64"/>
        <v>6</v>
      </c>
      <c r="AC29" s="34">
        <f t="shared" si="64"/>
        <v>5</v>
      </c>
      <c r="AD29" s="35">
        <f t="shared" si="64"/>
        <v>60</v>
      </c>
      <c r="AE29" s="34">
        <v>7</v>
      </c>
      <c r="AF29" s="34">
        <f t="shared" si="64"/>
        <v>5</v>
      </c>
      <c r="AG29" s="35">
        <f t="shared" si="64"/>
        <v>60</v>
      </c>
      <c r="AH29" s="34">
        <f t="shared" si="64"/>
        <v>7</v>
      </c>
      <c r="AI29" s="34">
        <f t="shared" si="64"/>
        <v>5</v>
      </c>
      <c r="AJ29" s="35">
        <f t="shared" si="64"/>
        <v>60</v>
      </c>
    </row>
    <row r="30" spans="1:36" x14ac:dyDescent="0.25">
      <c r="A30" s="1" t="s">
        <v>22</v>
      </c>
      <c r="B30" s="18"/>
      <c r="C30" t="s">
        <v>31</v>
      </c>
      <c r="D30" t="s">
        <v>6</v>
      </c>
      <c r="E30" s="1" t="s">
        <v>52</v>
      </c>
      <c r="F30" s="18" t="s">
        <v>72</v>
      </c>
      <c r="G30" s="32">
        <v>20</v>
      </c>
      <c r="H30" s="32">
        <v>3</v>
      </c>
      <c r="I30" s="33">
        <v>0</v>
      </c>
      <c r="J30" s="32">
        <f t="shared" si="65"/>
        <v>20</v>
      </c>
      <c r="K30" s="32">
        <f t="shared" si="66"/>
        <v>3</v>
      </c>
      <c r="L30" s="33">
        <f t="shared" si="67"/>
        <v>0</v>
      </c>
      <c r="M30" s="32">
        <f t="shared" si="68"/>
        <v>20</v>
      </c>
      <c r="N30" s="32">
        <f t="shared" si="69"/>
        <v>3</v>
      </c>
      <c r="O30" s="33">
        <f t="shared" ref="O30:O34" si="70">L30</f>
        <v>0</v>
      </c>
      <c r="P30" s="32">
        <f t="shared" si="64"/>
        <v>20</v>
      </c>
      <c r="Q30" s="32">
        <f t="shared" si="64"/>
        <v>3</v>
      </c>
      <c r="R30" s="33">
        <f t="shared" si="64"/>
        <v>0</v>
      </c>
      <c r="S30" s="32">
        <f t="shared" si="64"/>
        <v>20</v>
      </c>
      <c r="T30" s="32">
        <f t="shared" si="64"/>
        <v>3</v>
      </c>
      <c r="U30" s="33">
        <f t="shared" si="64"/>
        <v>0</v>
      </c>
      <c r="V30" s="32">
        <f t="shared" si="64"/>
        <v>20</v>
      </c>
      <c r="W30" s="32">
        <f t="shared" si="64"/>
        <v>3</v>
      </c>
      <c r="X30" s="33">
        <f t="shared" si="64"/>
        <v>0</v>
      </c>
      <c r="Y30" s="32">
        <f t="shared" si="64"/>
        <v>20</v>
      </c>
      <c r="Z30" s="32">
        <f t="shared" si="64"/>
        <v>3</v>
      </c>
      <c r="AA30" s="33">
        <f t="shared" si="64"/>
        <v>0</v>
      </c>
      <c r="AB30" s="32">
        <f t="shared" si="64"/>
        <v>20</v>
      </c>
      <c r="AC30" s="32">
        <f t="shared" si="64"/>
        <v>3</v>
      </c>
      <c r="AD30" s="33">
        <f t="shared" si="64"/>
        <v>0</v>
      </c>
      <c r="AE30" s="32">
        <f t="shared" si="64"/>
        <v>20</v>
      </c>
      <c r="AF30" s="32">
        <f t="shared" si="64"/>
        <v>3</v>
      </c>
      <c r="AG30" s="33">
        <f t="shared" si="64"/>
        <v>0</v>
      </c>
      <c r="AH30" s="32">
        <f t="shared" si="64"/>
        <v>20</v>
      </c>
      <c r="AI30" s="32">
        <f t="shared" si="64"/>
        <v>3</v>
      </c>
      <c r="AJ30" s="33">
        <f t="shared" si="64"/>
        <v>0</v>
      </c>
    </row>
    <row r="31" spans="1:36" x14ac:dyDescent="0.25">
      <c r="A31" s="1" t="s">
        <v>22</v>
      </c>
      <c r="B31" s="18"/>
      <c r="C31" t="s">
        <v>31</v>
      </c>
      <c r="D31" t="s">
        <v>6</v>
      </c>
      <c r="E31" s="1" t="s">
        <v>53</v>
      </c>
      <c r="F31" s="18" t="s">
        <v>72</v>
      </c>
      <c r="G31" s="32">
        <v>10</v>
      </c>
      <c r="H31" s="32">
        <v>3</v>
      </c>
      <c r="I31" s="33">
        <v>0</v>
      </c>
      <c r="J31" s="32">
        <f t="shared" ref="J31:J33" si="71">G31</f>
        <v>10</v>
      </c>
      <c r="K31" s="32">
        <f t="shared" si="66"/>
        <v>3</v>
      </c>
      <c r="L31" s="33">
        <f t="shared" si="67"/>
        <v>0</v>
      </c>
      <c r="M31" s="32">
        <f t="shared" si="68"/>
        <v>10</v>
      </c>
      <c r="N31" s="32">
        <f t="shared" si="69"/>
        <v>3</v>
      </c>
      <c r="O31" s="33">
        <f t="shared" si="70"/>
        <v>0</v>
      </c>
      <c r="P31" s="32">
        <f t="shared" si="64"/>
        <v>10</v>
      </c>
      <c r="Q31" s="32">
        <f t="shared" si="64"/>
        <v>3</v>
      </c>
      <c r="R31" s="33">
        <f t="shared" si="64"/>
        <v>0</v>
      </c>
      <c r="S31" s="32">
        <f t="shared" si="64"/>
        <v>10</v>
      </c>
      <c r="T31" s="32">
        <f t="shared" si="64"/>
        <v>3</v>
      </c>
      <c r="U31" s="33">
        <f t="shared" si="64"/>
        <v>0</v>
      </c>
      <c r="V31" s="32">
        <f t="shared" si="64"/>
        <v>10</v>
      </c>
      <c r="W31" s="32">
        <f t="shared" si="64"/>
        <v>3</v>
      </c>
      <c r="X31" s="33">
        <f t="shared" si="64"/>
        <v>0</v>
      </c>
      <c r="Y31" s="32">
        <f t="shared" si="64"/>
        <v>10</v>
      </c>
      <c r="Z31" s="32">
        <f t="shared" si="64"/>
        <v>3</v>
      </c>
      <c r="AA31" s="33">
        <f t="shared" si="64"/>
        <v>0</v>
      </c>
      <c r="AB31" s="32">
        <f t="shared" si="64"/>
        <v>10</v>
      </c>
      <c r="AC31" s="32">
        <f t="shared" si="64"/>
        <v>3</v>
      </c>
      <c r="AD31" s="33">
        <f t="shared" si="64"/>
        <v>0</v>
      </c>
      <c r="AE31" s="32">
        <f t="shared" si="64"/>
        <v>10</v>
      </c>
      <c r="AF31" s="32">
        <f t="shared" si="64"/>
        <v>3</v>
      </c>
      <c r="AG31" s="33">
        <f t="shared" si="64"/>
        <v>0</v>
      </c>
      <c r="AH31" s="32">
        <f t="shared" si="64"/>
        <v>10</v>
      </c>
      <c r="AI31" s="32">
        <f t="shared" si="64"/>
        <v>3</v>
      </c>
      <c r="AJ31" s="33">
        <f t="shared" si="64"/>
        <v>0</v>
      </c>
    </row>
    <row r="32" spans="1:36" x14ac:dyDescent="0.25">
      <c r="A32" s="1" t="s">
        <v>22</v>
      </c>
      <c r="B32" s="18"/>
      <c r="C32" t="s">
        <v>31</v>
      </c>
      <c r="D32" t="s">
        <v>6</v>
      </c>
      <c r="E32" s="1" t="s">
        <v>36</v>
      </c>
      <c r="F32" s="18" t="s">
        <v>72</v>
      </c>
      <c r="G32" s="32">
        <v>20</v>
      </c>
      <c r="H32" s="32">
        <v>3</v>
      </c>
      <c r="I32" s="33">
        <v>0</v>
      </c>
      <c r="J32" s="32">
        <f t="shared" si="71"/>
        <v>20</v>
      </c>
      <c r="K32" s="32">
        <f t="shared" si="66"/>
        <v>3</v>
      </c>
      <c r="L32" s="33">
        <f t="shared" si="67"/>
        <v>0</v>
      </c>
      <c r="M32" s="32">
        <f t="shared" si="68"/>
        <v>20</v>
      </c>
      <c r="N32" s="32">
        <f t="shared" si="69"/>
        <v>3</v>
      </c>
      <c r="O32" s="33">
        <f t="shared" si="70"/>
        <v>0</v>
      </c>
      <c r="P32" s="32">
        <f t="shared" si="64"/>
        <v>20</v>
      </c>
      <c r="Q32" s="32">
        <f t="shared" si="64"/>
        <v>3</v>
      </c>
      <c r="R32" s="33">
        <f t="shared" si="64"/>
        <v>0</v>
      </c>
      <c r="S32" s="32">
        <f t="shared" si="64"/>
        <v>20</v>
      </c>
      <c r="T32" s="32">
        <f t="shared" si="64"/>
        <v>3</v>
      </c>
      <c r="U32" s="33">
        <f t="shared" si="64"/>
        <v>0</v>
      </c>
      <c r="V32" s="32">
        <f t="shared" si="64"/>
        <v>20</v>
      </c>
      <c r="W32" s="32">
        <f t="shared" si="64"/>
        <v>3</v>
      </c>
      <c r="X32" s="33">
        <f t="shared" si="64"/>
        <v>0</v>
      </c>
      <c r="Y32" s="32">
        <f t="shared" si="64"/>
        <v>20</v>
      </c>
      <c r="Z32" s="32">
        <f t="shared" si="64"/>
        <v>3</v>
      </c>
      <c r="AA32" s="33">
        <f t="shared" si="64"/>
        <v>0</v>
      </c>
      <c r="AB32" s="32">
        <f t="shared" si="64"/>
        <v>20</v>
      </c>
      <c r="AC32" s="32">
        <f t="shared" si="64"/>
        <v>3</v>
      </c>
      <c r="AD32" s="33">
        <f t="shared" si="64"/>
        <v>0</v>
      </c>
      <c r="AE32" s="32">
        <f t="shared" si="64"/>
        <v>20</v>
      </c>
      <c r="AF32" s="32">
        <f t="shared" si="64"/>
        <v>3</v>
      </c>
      <c r="AG32" s="33">
        <f t="shared" si="64"/>
        <v>0</v>
      </c>
      <c r="AH32" s="32">
        <f t="shared" si="64"/>
        <v>20</v>
      </c>
      <c r="AI32" s="32">
        <f t="shared" si="64"/>
        <v>3</v>
      </c>
      <c r="AJ32" s="33">
        <f t="shared" si="64"/>
        <v>0</v>
      </c>
    </row>
    <row r="33" spans="1:36" x14ac:dyDescent="0.25">
      <c r="A33" s="3" t="s">
        <v>22</v>
      </c>
      <c r="B33" s="20"/>
      <c r="C33" s="2" t="s">
        <v>31</v>
      </c>
      <c r="D33" s="2" t="s">
        <v>6</v>
      </c>
      <c r="E33" s="3" t="s">
        <v>35</v>
      </c>
      <c r="F33" s="20" t="s">
        <v>72</v>
      </c>
      <c r="G33" s="36">
        <v>12</v>
      </c>
      <c r="H33" s="36">
        <v>3</v>
      </c>
      <c r="I33" s="37">
        <v>0</v>
      </c>
      <c r="J33" s="36">
        <f t="shared" si="71"/>
        <v>12</v>
      </c>
      <c r="K33" s="36">
        <f t="shared" si="66"/>
        <v>3</v>
      </c>
      <c r="L33" s="37">
        <f t="shared" si="67"/>
        <v>0</v>
      </c>
      <c r="M33" s="36">
        <f t="shared" si="68"/>
        <v>12</v>
      </c>
      <c r="N33" s="36">
        <f t="shared" si="69"/>
        <v>3</v>
      </c>
      <c r="O33" s="37">
        <f t="shared" si="70"/>
        <v>0</v>
      </c>
      <c r="P33" s="36">
        <f t="shared" si="64"/>
        <v>12</v>
      </c>
      <c r="Q33" s="36">
        <f t="shared" si="64"/>
        <v>3</v>
      </c>
      <c r="R33" s="37">
        <f t="shared" si="64"/>
        <v>0</v>
      </c>
      <c r="S33" s="36">
        <f t="shared" si="64"/>
        <v>12</v>
      </c>
      <c r="T33" s="36">
        <f t="shared" si="64"/>
        <v>3</v>
      </c>
      <c r="U33" s="37">
        <f t="shared" si="64"/>
        <v>0</v>
      </c>
      <c r="V33" s="36">
        <f t="shared" si="64"/>
        <v>12</v>
      </c>
      <c r="W33" s="36">
        <f t="shared" si="64"/>
        <v>3</v>
      </c>
      <c r="X33" s="37">
        <f t="shared" si="64"/>
        <v>0</v>
      </c>
      <c r="Y33" s="36">
        <f t="shared" si="64"/>
        <v>12</v>
      </c>
      <c r="Z33" s="36">
        <f t="shared" si="64"/>
        <v>3</v>
      </c>
      <c r="AA33" s="37">
        <f t="shared" si="64"/>
        <v>0</v>
      </c>
      <c r="AB33" s="36">
        <f t="shared" si="64"/>
        <v>12</v>
      </c>
      <c r="AC33" s="36">
        <f t="shared" si="64"/>
        <v>3</v>
      </c>
      <c r="AD33" s="37">
        <f t="shared" si="64"/>
        <v>0</v>
      </c>
      <c r="AE33" s="36">
        <f t="shared" si="64"/>
        <v>12</v>
      </c>
      <c r="AF33" s="36">
        <f t="shared" si="64"/>
        <v>3</v>
      </c>
      <c r="AG33" s="37">
        <f t="shared" si="64"/>
        <v>0</v>
      </c>
      <c r="AH33" s="36">
        <f t="shared" si="64"/>
        <v>12</v>
      </c>
      <c r="AI33" s="36">
        <f t="shared" si="64"/>
        <v>3</v>
      </c>
      <c r="AJ33" s="37">
        <f t="shared" si="64"/>
        <v>0</v>
      </c>
    </row>
    <row r="34" spans="1:36" x14ac:dyDescent="0.25">
      <c r="A34" s="9" t="s">
        <v>23</v>
      </c>
      <c r="B34" s="17" t="s">
        <v>30</v>
      </c>
      <c r="C34" s="8" t="s">
        <v>18</v>
      </c>
      <c r="D34" s="8" t="s">
        <v>34</v>
      </c>
      <c r="E34" s="9" t="s">
        <v>25</v>
      </c>
      <c r="F34" s="17" t="s">
        <v>74</v>
      </c>
      <c r="G34" s="30">
        <v>1</v>
      </c>
      <c r="H34" s="30">
        <v>1</v>
      </c>
      <c r="I34" s="31">
        <v>14</v>
      </c>
      <c r="J34" s="30">
        <f>G34</f>
        <v>1</v>
      </c>
      <c r="K34" s="30">
        <f t="shared" si="66"/>
        <v>1</v>
      </c>
      <c r="L34" s="31">
        <f>I34</f>
        <v>14</v>
      </c>
      <c r="M34" s="30">
        <f t="shared" si="68"/>
        <v>1</v>
      </c>
      <c r="N34" s="30">
        <f t="shared" si="69"/>
        <v>1</v>
      </c>
      <c r="O34" s="31">
        <f t="shared" si="70"/>
        <v>14</v>
      </c>
      <c r="P34" s="30">
        <f t="shared" si="64"/>
        <v>1</v>
      </c>
      <c r="Q34" s="30">
        <f t="shared" si="64"/>
        <v>1</v>
      </c>
      <c r="R34" s="31">
        <f t="shared" si="64"/>
        <v>14</v>
      </c>
      <c r="S34" s="30">
        <f t="shared" si="64"/>
        <v>1</v>
      </c>
      <c r="T34" s="30">
        <f t="shared" si="64"/>
        <v>1</v>
      </c>
      <c r="U34" s="31">
        <f t="shared" si="64"/>
        <v>14</v>
      </c>
      <c r="V34" s="30">
        <f t="shared" si="64"/>
        <v>1</v>
      </c>
      <c r="W34" s="30">
        <f t="shared" si="64"/>
        <v>1</v>
      </c>
      <c r="X34" s="31">
        <f t="shared" si="64"/>
        <v>14</v>
      </c>
      <c r="Y34" s="30">
        <f t="shared" si="64"/>
        <v>1</v>
      </c>
      <c r="Z34" s="30">
        <f t="shared" si="64"/>
        <v>1</v>
      </c>
      <c r="AA34" s="31">
        <f t="shared" si="64"/>
        <v>14</v>
      </c>
      <c r="AB34" s="30">
        <f t="shared" si="64"/>
        <v>1</v>
      </c>
      <c r="AC34" s="30">
        <f t="shared" si="64"/>
        <v>1</v>
      </c>
      <c r="AD34" s="31">
        <f t="shared" si="64"/>
        <v>14</v>
      </c>
      <c r="AE34" s="30">
        <f t="shared" si="64"/>
        <v>1</v>
      </c>
      <c r="AF34" s="30">
        <f t="shared" si="64"/>
        <v>1</v>
      </c>
      <c r="AG34" s="31">
        <f t="shared" si="64"/>
        <v>14</v>
      </c>
      <c r="AH34" s="30">
        <f t="shared" si="64"/>
        <v>1</v>
      </c>
      <c r="AI34" s="30">
        <f t="shared" si="64"/>
        <v>1</v>
      </c>
      <c r="AJ34" s="31">
        <f t="shared" si="64"/>
        <v>14</v>
      </c>
    </row>
    <row r="35" spans="1:36" x14ac:dyDescent="0.25">
      <c r="A35" s="13" t="s">
        <v>24</v>
      </c>
      <c r="B35" s="24" t="s">
        <v>30</v>
      </c>
      <c r="C35" s="12" t="s">
        <v>51</v>
      </c>
      <c r="D35" s="12" t="s">
        <v>34</v>
      </c>
      <c r="E35" s="13" t="s">
        <v>25</v>
      </c>
      <c r="F35" s="24" t="s">
        <v>63</v>
      </c>
      <c r="G35" s="38">
        <v>1</v>
      </c>
      <c r="H35" s="38">
        <v>1</v>
      </c>
      <c r="I35" s="39">
        <v>16</v>
      </c>
      <c r="J35" s="38">
        <v>0</v>
      </c>
      <c r="K35" s="38">
        <v>0</v>
      </c>
      <c r="L35" s="39">
        <v>0</v>
      </c>
      <c r="M35" s="38">
        <f>G35</f>
        <v>1</v>
      </c>
      <c r="N35" s="38">
        <f>H35</f>
        <v>1</v>
      </c>
      <c r="O35" s="39">
        <v>16.5</v>
      </c>
      <c r="P35" s="38">
        <f t="shared" ref="P35:AJ38" si="72">J35</f>
        <v>0</v>
      </c>
      <c r="Q35" s="38">
        <f t="shared" si="72"/>
        <v>0</v>
      </c>
      <c r="R35" s="39">
        <f t="shared" si="72"/>
        <v>0</v>
      </c>
      <c r="S35" s="38">
        <f t="shared" si="72"/>
        <v>1</v>
      </c>
      <c r="T35" s="38">
        <f t="shared" si="72"/>
        <v>1</v>
      </c>
      <c r="U35" s="39">
        <v>17</v>
      </c>
      <c r="V35" s="38">
        <f t="shared" si="72"/>
        <v>0</v>
      </c>
      <c r="W35" s="38">
        <f t="shared" si="72"/>
        <v>0</v>
      </c>
      <c r="X35" s="39">
        <f t="shared" si="72"/>
        <v>0</v>
      </c>
      <c r="Y35" s="38">
        <f t="shared" si="72"/>
        <v>1</v>
      </c>
      <c r="Z35" s="38">
        <f t="shared" si="72"/>
        <v>1</v>
      </c>
      <c r="AA35" s="39">
        <v>17.5</v>
      </c>
      <c r="AB35" s="38">
        <f t="shared" si="72"/>
        <v>0</v>
      </c>
      <c r="AC35" s="38">
        <f t="shared" si="72"/>
        <v>0</v>
      </c>
      <c r="AD35" s="39">
        <f t="shared" si="72"/>
        <v>0</v>
      </c>
      <c r="AE35" s="38">
        <f t="shared" si="72"/>
        <v>1</v>
      </c>
      <c r="AF35" s="38">
        <f t="shared" si="72"/>
        <v>1</v>
      </c>
      <c r="AG35" s="39">
        <v>18</v>
      </c>
      <c r="AH35" s="38">
        <f t="shared" si="72"/>
        <v>0</v>
      </c>
      <c r="AI35" s="38">
        <f t="shared" si="72"/>
        <v>0</v>
      </c>
      <c r="AJ35" s="39">
        <f t="shared" si="72"/>
        <v>0</v>
      </c>
    </row>
    <row r="36" spans="1:36" x14ac:dyDescent="0.25">
      <c r="A36" s="1" t="s">
        <v>24</v>
      </c>
      <c r="B36" s="18" t="s">
        <v>30</v>
      </c>
      <c r="C36" t="s">
        <v>65</v>
      </c>
      <c r="D36" t="s">
        <v>34</v>
      </c>
      <c r="E36" s="1" t="s">
        <v>25</v>
      </c>
      <c r="F36" s="18" t="s">
        <v>67</v>
      </c>
      <c r="G36" s="32">
        <v>0</v>
      </c>
      <c r="H36" s="32">
        <v>0</v>
      </c>
      <c r="I36" s="33">
        <v>0</v>
      </c>
      <c r="J36" s="32">
        <v>1</v>
      </c>
      <c r="K36" s="32">
        <v>1</v>
      </c>
      <c r="L36" s="33">
        <v>2</v>
      </c>
      <c r="M36" s="32">
        <f t="shared" ref="M36:M38" si="73">G36</f>
        <v>0</v>
      </c>
      <c r="N36" s="32">
        <f t="shared" ref="N36:N38" si="74">H36</f>
        <v>0</v>
      </c>
      <c r="O36" s="33">
        <v>0</v>
      </c>
      <c r="P36" s="32">
        <v>1</v>
      </c>
      <c r="Q36" s="32">
        <v>1</v>
      </c>
      <c r="R36" s="33">
        <v>2</v>
      </c>
      <c r="S36" s="32">
        <f t="shared" si="72"/>
        <v>0</v>
      </c>
      <c r="T36" s="32">
        <f t="shared" si="72"/>
        <v>0</v>
      </c>
      <c r="U36" s="33">
        <v>0</v>
      </c>
      <c r="V36" s="32">
        <v>1</v>
      </c>
      <c r="W36" s="32">
        <v>1</v>
      </c>
      <c r="X36" s="33">
        <v>2</v>
      </c>
      <c r="Y36" s="32">
        <f t="shared" si="72"/>
        <v>0</v>
      </c>
      <c r="Z36" s="32">
        <f t="shared" si="72"/>
        <v>0</v>
      </c>
      <c r="AA36" s="33">
        <v>0</v>
      </c>
      <c r="AB36" s="32">
        <v>1</v>
      </c>
      <c r="AC36" s="32">
        <v>1</v>
      </c>
      <c r="AD36" s="33">
        <v>2</v>
      </c>
      <c r="AE36" s="32">
        <f t="shared" si="72"/>
        <v>0</v>
      </c>
      <c r="AF36" s="32">
        <f t="shared" si="72"/>
        <v>0</v>
      </c>
      <c r="AG36" s="33">
        <v>0</v>
      </c>
      <c r="AH36" s="32">
        <v>1</v>
      </c>
      <c r="AI36" s="32">
        <v>1</v>
      </c>
      <c r="AJ36" s="33">
        <v>2</v>
      </c>
    </row>
    <row r="37" spans="1:36" x14ac:dyDescent="0.25">
      <c r="A37" s="1" t="s">
        <v>24</v>
      </c>
      <c r="B37" s="18" t="s">
        <v>30</v>
      </c>
      <c r="C37" t="s">
        <v>65</v>
      </c>
      <c r="D37" t="s">
        <v>34</v>
      </c>
      <c r="E37" s="1" t="s">
        <v>25</v>
      </c>
      <c r="F37" s="18" t="s">
        <v>64</v>
      </c>
      <c r="G37" s="32">
        <v>0</v>
      </c>
      <c r="H37" s="32">
        <v>0</v>
      </c>
      <c r="I37" s="33">
        <v>0</v>
      </c>
      <c r="J37" s="32">
        <v>1</v>
      </c>
      <c r="K37" s="32">
        <v>5</v>
      </c>
      <c r="L37" s="33">
        <v>1</v>
      </c>
      <c r="M37" s="32">
        <f t="shared" si="73"/>
        <v>0</v>
      </c>
      <c r="N37" s="32">
        <f t="shared" si="74"/>
        <v>0</v>
      </c>
      <c r="O37" s="33">
        <v>0</v>
      </c>
      <c r="P37" s="32">
        <v>1</v>
      </c>
      <c r="Q37" s="32">
        <v>5</v>
      </c>
      <c r="R37" s="33">
        <v>1</v>
      </c>
      <c r="S37" s="32">
        <f t="shared" si="72"/>
        <v>0</v>
      </c>
      <c r="T37" s="32">
        <f t="shared" si="72"/>
        <v>0</v>
      </c>
      <c r="U37" s="33">
        <v>0</v>
      </c>
      <c r="V37" s="32">
        <v>1</v>
      </c>
      <c r="W37" s="32">
        <v>5</v>
      </c>
      <c r="X37" s="33">
        <v>1</v>
      </c>
      <c r="Y37" s="32">
        <f t="shared" si="72"/>
        <v>0</v>
      </c>
      <c r="Z37" s="32">
        <f t="shared" si="72"/>
        <v>0</v>
      </c>
      <c r="AA37" s="33">
        <v>0</v>
      </c>
      <c r="AB37" s="32">
        <v>1</v>
      </c>
      <c r="AC37" s="32">
        <v>5</v>
      </c>
      <c r="AD37" s="33">
        <v>1</v>
      </c>
      <c r="AE37" s="32">
        <f t="shared" si="72"/>
        <v>0</v>
      </c>
      <c r="AF37" s="32">
        <f t="shared" si="72"/>
        <v>0</v>
      </c>
      <c r="AG37" s="33">
        <v>0</v>
      </c>
      <c r="AH37" s="32">
        <v>1</v>
      </c>
      <c r="AI37" s="32">
        <v>5</v>
      </c>
      <c r="AJ37" s="33">
        <v>1</v>
      </c>
    </row>
    <row r="38" spans="1:36" x14ac:dyDescent="0.25">
      <c r="A38" s="11" t="s">
        <v>24</v>
      </c>
      <c r="B38" s="19" t="s">
        <v>30</v>
      </c>
      <c r="C38" s="10" t="s">
        <v>65</v>
      </c>
      <c r="D38" s="10" t="s">
        <v>34</v>
      </c>
      <c r="E38" s="11" t="s">
        <v>25</v>
      </c>
      <c r="F38" s="19" t="s">
        <v>66</v>
      </c>
      <c r="G38" s="34">
        <v>0</v>
      </c>
      <c r="H38" s="34">
        <v>0</v>
      </c>
      <c r="I38" s="35">
        <v>0</v>
      </c>
      <c r="J38" s="34">
        <v>1</v>
      </c>
      <c r="K38" s="34">
        <v>1</v>
      </c>
      <c r="L38" s="35">
        <v>2</v>
      </c>
      <c r="M38" s="34">
        <f t="shared" si="73"/>
        <v>0</v>
      </c>
      <c r="N38" s="34">
        <f t="shared" si="74"/>
        <v>0</v>
      </c>
      <c r="O38" s="35">
        <v>0</v>
      </c>
      <c r="P38" s="34">
        <v>1</v>
      </c>
      <c r="Q38" s="34">
        <v>1</v>
      </c>
      <c r="R38" s="35">
        <v>2</v>
      </c>
      <c r="S38" s="34">
        <f t="shared" si="72"/>
        <v>0</v>
      </c>
      <c r="T38" s="34">
        <f t="shared" si="72"/>
        <v>0</v>
      </c>
      <c r="U38" s="35">
        <v>0</v>
      </c>
      <c r="V38" s="34">
        <v>1</v>
      </c>
      <c r="W38" s="34">
        <v>1</v>
      </c>
      <c r="X38" s="35">
        <v>2</v>
      </c>
      <c r="Y38" s="34">
        <f t="shared" si="72"/>
        <v>0</v>
      </c>
      <c r="Z38" s="34">
        <f t="shared" si="72"/>
        <v>0</v>
      </c>
      <c r="AA38" s="35">
        <v>0</v>
      </c>
      <c r="AB38" s="34">
        <v>1</v>
      </c>
      <c r="AC38" s="34">
        <v>1</v>
      </c>
      <c r="AD38" s="35">
        <v>2</v>
      </c>
      <c r="AE38" s="34">
        <f t="shared" si="72"/>
        <v>0</v>
      </c>
      <c r="AF38" s="34">
        <f t="shared" si="72"/>
        <v>0</v>
      </c>
      <c r="AG38" s="35">
        <v>0</v>
      </c>
      <c r="AH38" s="34">
        <v>1</v>
      </c>
      <c r="AI38" s="34">
        <v>1</v>
      </c>
      <c r="AJ38" s="35">
        <v>2</v>
      </c>
    </row>
    <row r="39" spans="1:36" x14ac:dyDescent="0.25">
      <c r="A39" s="21" t="s">
        <v>24</v>
      </c>
      <c r="B39" s="22" t="s">
        <v>30</v>
      </c>
      <c r="C39" s="23" t="s">
        <v>31</v>
      </c>
      <c r="D39" s="23" t="s">
        <v>34</v>
      </c>
      <c r="E39" s="21" t="s">
        <v>47</v>
      </c>
      <c r="F39" s="22" t="s">
        <v>79</v>
      </c>
      <c r="G39" s="40">
        <v>1</v>
      </c>
      <c r="H39" s="40">
        <v>10</v>
      </c>
      <c r="I39" s="41" t="s">
        <v>68</v>
      </c>
      <c r="J39" s="40">
        <v>1</v>
      </c>
      <c r="K39" s="40">
        <v>10</v>
      </c>
      <c r="L39" s="41" t="s">
        <v>68</v>
      </c>
      <c r="M39" s="40">
        <v>1</v>
      </c>
      <c r="N39" s="40">
        <v>10</v>
      </c>
      <c r="O39" s="41" t="s">
        <v>68</v>
      </c>
      <c r="P39" s="40">
        <v>1</v>
      </c>
      <c r="Q39" s="40">
        <v>10</v>
      </c>
      <c r="R39" s="41" t="s">
        <v>68</v>
      </c>
      <c r="S39" s="40">
        <v>1</v>
      </c>
      <c r="T39" s="40">
        <v>10</v>
      </c>
      <c r="U39" s="41" t="s">
        <v>68</v>
      </c>
      <c r="V39" s="40">
        <v>1</v>
      </c>
      <c r="W39" s="40">
        <v>10</v>
      </c>
      <c r="X39" s="41" t="s">
        <v>68</v>
      </c>
      <c r="Y39" s="40">
        <v>1</v>
      </c>
      <c r="Z39" s="40">
        <v>10</v>
      </c>
      <c r="AA39" s="41" t="s">
        <v>68</v>
      </c>
      <c r="AB39" s="40">
        <v>1</v>
      </c>
      <c r="AC39" s="40">
        <v>10</v>
      </c>
      <c r="AD39" s="41" t="s">
        <v>68</v>
      </c>
      <c r="AE39" s="40">
        <v>1</v>
      </c>
      <c r="AF39" s="40">
        <v>10</v>
      </c>
      <c r="AG39" s="41" t="s">
        <v>68</v>
      </c>
      <c r="AH39" s="40">
        <v>1</v>
      </c>
      <c r="AI39" s="40">
        <v>10</v>
      </c>
      <c r="AJ39" s="41" t="s">
        <v>68</v>
      </c>
    </row>
    <row r="40" spans="1:36" x14ac:dyDescent="0.25">
      <c r="A40" s="1" t="s">
        <v>24</v>
      </c>
      <c r="B40" s="18" t="s">
        <v>30</v>
      </c>
      <c r="C40" t="s">
        <v>31</v>
      </c>
      <c r="D40" s="14" t="s">
        <v>54</v>
      </c>
      <c r="E40" s="1" t="s">
        <v>55</v>
      </c>
      <c r="F40" s="18" t="s">
        <v>69</v>
      </c>
      <c r="G40" s="32">
        <v>25</v>
      </c>
      <c r="H40" s="32">
        <v>1</v>
      </c>
      <c r="I40" s="33">
        <v>0</v>
      </c>
      <c r="J40" s="32">
        <f t="shared" ref="J40:J46" si="75">G40</f>
        <v>25</v>
      </c>
      <c r="K40" s="32">
        <f t="shared" ref="K40:K46" si="76">H40</f>
        <v>1</v>
      </c>
      <c r="L40" s="33">
        <f>I40</f>
        <v>0</v>
      </c>
      <c r="M40" s="32">
        <f t="shared" ref="M40:M46" si="77">J40</f>
        <v>25</v>
      </c>
      <c r="N40" s="32">
        <f t="shared" ref="N40:N46" si="78">K40</f>
        <v>1</v>
      </c>
      <c r="O40" s="33">
        <f t="shared" ref="O40:O46" si="79">L40</f>
        <v>0</v>
      </c>
      <c r="P40" s="32">
        <f t="shared" ref="P40:P46" si="80">M40</f>
        <v>25</v>
      </c>
      <c r="Q40" s="32">
        <f t="shared" ref="Q40:Q46" si="81">N40</f>
        <v>1</v>
      </c>
      <c r="R40" s="33">
        <f t="shared" ref="R40:R46" si="82">O40</f>
        <v>0</v>
      </c>
      <c r="S40" s="32">
        <f t="shared" ref="S40:S46" si="83">P40</f>
        <v>25</v>
      </c>
      <c r="T40" s="32">
        <f t="shared" ref="T40:T46" si="84">Q40</f>
        <v>1</v>
      </c>
      <c r="U40" s="33">
        <f t="shared" ref="U40:U46" si="85">R40</f>
        <v>0</v>
      </c>
      <c r="V40" s="32">
        <f t="shared" ref="V40:V46" si="86">S40</f>
        <v>25</v>
      </c>
      <c r="W40" s="32">
        <f t="shared" ref="W40:W46" si="87">T40</f>
        <v>1</v>
      </c>
      <c r="X40" s="33">
        <f t="shared" ref="X40:X46" si="88">U40</f>
        <v>0</v>
      </c>
      <c r="Y40" s="32">
        <f t="shared" ref="Y40:Y46" si="89">V40</f>
        <v>25</v>
      </c>
      <c r="Z40" s="32">
        <f t="shared" ref="Z40:Z46" si="90">W40</f>
        <v>1</v>
      </c>
      <c r="AA40" s="33">
        <f t="shared" ref="AA40:AA46" si="91">X40</f>
        <v>0</v>
      </c>
      <c r="AB40" s="32">
        <f t="shared" ref="AB40:AB46" si="92">Y40</f>
        <v>25</v>
      </c>
      <c r="AC40" s="32">
        <f t="shared" ref="AC40:AC46" si="93">Z40</f>
        <v>1</v>
      </c>
      <c r="AD40" s="33">
        <f t="shared" ref="AD40:AD46" si="94">AA40</f>
        <v>0</v>
      </c>
      <c r="AE40" s="32">
        <f t="shared" ref="AE40:AE46" si="95">AB40</f>
        <v>25</v>
      </c>
      <c r="AF40" s="32">
        <f t="shared" ref="AF40:AF46" si="96">AC40</f>
        <v>1</v>
      </c>
      <c r="AG40" s="33">
        <f t="shared" ref="AG40:AG46" si="97">AD40</f>
        <v>0</v>
      </c>
      <c r="AH40" s="32">
        <f t="shared" ref="AH40:AH46" si="98">AE40</f>
        <v>25</v>
      </c>
      <c r="AI40" s="32">
        <f t="shared" ref="AI40:AI46" si="99">AF40</f>
        <v>1</v>
      </c>
      <c r="AJ40" s="33">
        <f t="shared" ref="AJ40:AJ46" si="100">AG40</f>
        <v>0</v>
      </c>
    </row>
    <row r="41" spans="1:36" x14ac:dyDescent="0.25">
      <c r="A41" s="1" t="s">
        <v>24</v>
      </c>
      <c r="B41" s="18" t="s">
        <v>30</v>
      </c>
      <c r="C41" t="s">
        <v>31</v>
      </c>
      <c r="D41" t="s">
        <v>54</v>
      </c>
      <c r="E41" s="1" t="s">
        <v>80</v>
      </c>
      <c r="F41" s="18" t="s">
        <v>69</v>
      </c>
      <c r="G41" s="32">
        <v>50</v>
      </c>
      <c r="H41" s="32">
        <v>1</v>
      </c>
      <c r="I41" s="33">
        <v>32</v>
      </c>
      <c r="J41" s="32">
        <f t="shared" si="75"/>
        <v>50</v>
      </c>
      <c r="K41" s="32">
        <f t="shared" si="76"/>
        <v>1</v>
      </c>
      <c r="L41" s="33">
        <f t="shared" ref="L41:L46" si="101">I41</f>
        <v>32</v>
      </c>
      <c r="M41" s="32">
        <f t="shared" si="77"/>
        <v>50</v>
      </c>
      <c r="N41" s="32">
        <f t="shared" si="78"/>
        <v>1</v>
      </c>
      <c r="O41" s="33">
        <f t="shared" si="79"/>
        <v>32</v>
      </c>
      <c r="P41" s="32">
        <f t="shared" si="80"/>
        <v>50</v>
      </c>
      <c r="Q41" s="32">
        <f t="shared" si="81"/>
        <v>1</v>
      </c>
      <c r="R41" s="33">
        <f t="shared" si="82"/>
        <v>32</v>
      </c>
      <c r="S41" s="32">
        <f t="shared" si="83"/>
        <v>50</v>
      </c>
      <c r="T41" s="32">
        <f t="shared" si="84"/>
        <v>1</v>
      </c>
      <c r="U41" s="33">
        <f t="shared" si="85"/>
        <v>32</v>
      </c>
      <c r="V41" s="32">
        <f t="shared" si="86"/>
        <v>50</v>
      </c>
      <c r="W41" s="32">
        <f t="shared" si="87"/>
        <v>1</v>
      </c>
      <c r="X41" s="33">
        <f t="shared" si="88"/>
        <v>32</v>
      </c>
      <c r="Y41" s="32">
        <f t="shared" si="89"/>
        <v>50</v>
      </c>
      <c r="Z41" s="32">
        <f t="shared" si="90"/>
        <v>1</v>
      </c>
      <c r="AA41" s="33">
        <f t="shared" si="91"/>
        <v>32</v>
      </c>
      <c r="AB41" s="32">
        <f t="shared" si="92"/>
        <v>50</v>
      </c>
      <c r="AC41" s="32">
        <f t="shared" si="93"/>
        <v>1</v>
      </c>
      <c r="AD41" s="33">
        <f t="shared" si="94"/>
        <v>32</v>
      </c>
      <c r="AE41" s="32">
        <f t="shared" si="95"/>
        <v>50</v>
      </c>
      <c r="AF41" s="32">
        <f t="shared" si="96"/>
        <v>1</v>
      </c>
      <c r="AG41" s="33">
        <f t="shared" si="97"/>
        <v>32</v>
      </c>
      <c r="AH41" s="32">
        <f t="shared" si="98"/>
        <v>50</v>
      </c>
      <c r="AI41" s="32">
        <f t="shared" si="99"/>
        <v>1</v>
      </c>
      <c r="AJ41" s="33">
        <f t="shared" si="100"/>
        <v>32</v>
      </c>
    </row>
    <row r="42" spans="1:36" x14ac:dyDescent="0.25">
      <c r="A42" s="1" t="s">
        <v>24</v>
      </c>
      <c r="B42" s="18" t="s">
        <v>30</v>
      </c>
      <c r="C42" t="s">
        <v>31</v>
      </c>
      <c r="D42" t="s">
        <v>54</v>
      </c>
      <c r="E42" s="1" t="s">
        <v>56</v>
      </c>
      <c r="F42" s="18" t="s">
        <v>69</v>
      </c>
      <c r="G42" s="32">
        <v>50</v>
      </c>
      <c r="H42" s="32">
        <v>1</v>
      </c>
      <c r="I42" s="33">
        <v>0</v>
      </c>
      <c r="J42" s="32">
        <f t="shared" si="75"/>
        <v>50</v>
      </c>
      <c r="K42" s="32">
        <f t="shared" si="76"/>
        <v>1</v>
      </c>
      <c r="L42" s="33">
        <f t="shared" si="101"/>
        <v>0</v>
      </c>
      <c r="M42" s="32">
        <f t="shared" si="77"/>
        <v>50</v>
      </c>
      <c r="N42" s="32">
        <f t="shared" si="78"/>
        <v>1</v>
      </c>
      <c r="O42" s="33">
        <f t="shared" si="79"/>
        <v>0</v>
      </c>
      <c r="P42" s="32">
        <f t="shared" si="80"/>
        <v>50</v>
      </c>
      <c r="Q42" s="32">
        <f t="shared" si="81"/>
        <v>1</v>
      </c>
      <c r="R42" s="33">
        <f t="shared" si="82"/>
        <v>0</v>
      </c>
      <c r="S42" s="32">
        <f t="shared" si="83"/>
        <v>50</v>
      </c>
      <c r="T42" s="32">
        <f t="shared" si="84"/>
        <v>1</v>
      </c>
      <c r="U42" s="33">
        <f t="shared" si="85"/>
        <v>0</v>
      </c>
      <c r="V42" s="32">
        <f t="shared" si="86"/>
        <v>50</v>
      </c>
      <c r="W42" s="32">
        <f t="shared" si="87"/>
        <v>1</v>
      </c>
      <c r="X42" s="33">
        <f t="shared" si="88"/>
        <v>0</v>
      </c>
      <c r="Y42" s="32">
        <f t="shared" si="89"/>
        <v>50</v>
      </c>
      <c r="Z42" s="32">
        <f t="shared" si="90"/>
        <v>1</v>
      </c>
      <c r="AA42" s="33">
        <f t="shared" si="91"/>
        <v>0</v>
      </c>
      <c r="AB42" s="32">
        <f t="shared" si="92"/>
        <v>50</v>
      </c>
      <c r="AC42" s="32">
        <f t="shared" si="93"/>
        <v>1</v>
      </c>
      <c r="AD42" s="33">
        <f t="shared" si="94"/>
        <v>0</v>
      </c>
      <c r="AE42" s="32">
        <f t="shared" si="95"/>
        <v>50</v>
      </c>
      <c r="AF42" s="32">
        <f t="shared" si="96"/>
        <v>1</v>
      </c>
      <c r="AG42" s="33">
        <f t="shared" si="97"/>
        <v>0</v>
      </c>
      <c r="AH42" s="32">
        <f t="shared" si="98"/>
        <v>50</v>
      </c>
      <c r="AI42" s="32">
        <f t="shared" si="99"/>
        <v>1</v>
      </c>
      <c r="AJ42" s="33">
        <f t="shared" si="100"/>
        <v>0</v>
      </c>
    </row>
    <row r="43" spans="1:36" x14ac:dyDescent="0.25">
      <c r="A43" s="1" t="s">
        <v>24</v>
      </c>
      <c r="B43" s="18" t="s">
        <v>30</v>
      </c>
      <c r="C43" t="s">
        <v>31</v>
      </c>
      <c r="D43" t="s">
        <v>54</v>
      </c>
      <c r="E43" s="1" t="s">
        <v>57</v>
      </c>
      <c r="F43" s="18" t="s">
        <v>69</v>
      </c>
      <c r="G43" s="32">
        <v>50</v>
      </c>
      <c r="H43" s="32">
        <v>1</v>
      </c>
      <c r="I43" s="33">
        <v>0</v>
      </c>
      <c r="J43" s="32">
        <f t="shared" si="75"/>
        <v>50</v>
      </c>
      <c r="K43" s="32">
        <f t="shared" si="76"/>
        <v>1</v>
      </c>
      <c r="L43" s="33">
        <f t="shared" si="101"/>
        <v>0</v>
      </c>
      <c r="M43" s="32">
        <f t="shared" si="77"/>
        <v>50</v>
      </c>
      <c r="N43" s="32">
        <f t="shared" si="78"/>
        <v>1</v>
      </c>
      <c r="O43" s="33">
        <f t="shared" si="79"/>
        <v>0</v>
      </c>
      <c r="P43" s="32">
        <f t="shared" si="80"/>
        <v>50</v>
      </c>
      <c r="Q43" s="32">
        <f t="shared" si="81"/>
        <v>1</v>
      </c>
      <c r="R43" s="33">
        <f t="shared" si="82"/>
        <v>0</v>
      </c>
      <c r="S43" s="32">
        <f t="shared" si="83"/>
        <v>50</v>
      </c>
      <c r="T43" s="32">
        <f t="shared" si="84"/>
        <v>1</v>
      </c>
      <c r="U43" s="33">
        <f t="shared" si="85"/>
        <v>0</v>
      </c>
      <c r="V43" s="32">
        <f t="shared" si="86"/>
        <v>50</v>
      </c>
      <c r="W43" s="32">
        <f t="shared" si="87"/>
        <v>1</v>
      </c>
      <c r="X43" s="33">
        <f t="shared" si="88"/>
        <v>0</v>
      </c>
      <c r="Y43" s="32">
        <f t="shared" si="89"/>
        <v>50</v>
      </c>
      <c r="Z43" s="32">
        <f t="shared" si="90"/>
        <v>1</v>
      </c>
      <c r="AA43" s="33">
        <f t="shared" si="91"/>
        <v>0</v>
      </c>
      <c r="AB43" s="32">
        <f t="shared" si="92"/>
        <v>50</v>
      </c>
      <c r="AC43" s="32">
        <f t="shared" si="93"/>
        <v>1</v>
      </c>
      <c r="AD43" s="33">
        <f t="shared" si="94"/>
        <v>0</v>
      </c>
      <c r="AE43" s="32">
        <f t="shared" si="95"/>
        <v>50</v>
      </c>
      <c r="AF43" s="32">
        <f t="shared" si="96"/>
        <v>1</v>
      </c>
      <c r="AG43" s="33">
        <f t="shared" si="97"/>
        <v>0</v>
      </c>
      <c r="AH43" s="32">
        <f t="shared" si="98"/>
        <v>50</v>
      </c>
      <c r="AI43" s="32">
        <f t="shared" si="99"/>
        <v>1</v>
      </c>
      <c r="AJ43" s="33">
        <f t="shared" si="100"/>
        <v>0</v>
      </c>
    </row>
    <row r="44" spans="1:36" x14ac:dyDescent="0.25">
      <c r="A44" s="1" t="s">
        <v>24</v>
      </c>
      <c r="B44" s="18" t="s">
        <v>30</v>
      </c>
      <c r="C44" t="s">
        <v>31</v>
      </c>
      <c r="D44" t="s">
        <v>54</v>
      </c>
      <c r="E44" s="1" t="s">
        <v>58</v>
      </c>
      <c r="F44" s="18" t="s">
        <v>69</v>
      </c>
      <c r="G44" s="32">
        <v>50</v>
      </c>
      <c r="H44" s="32">
        <v>1</v>
      </c>
      <c r="I44" s="33">
        <v>60</v>
      </c>
      <c r="J44" s="32">
        <f t="shared" si="75"/>
        <v>50</v>
      </c>
      <c r="K44" s="32">
        <f t="shared" si="76"/>
        <v>1</v>
      </c>
      <c r="L44" s="33">
        <f t="shared" si="101"/>
        <v>60</v>
      </c>
      <c r="M44" s="32">
        <f t="shared" si="77"/>
        <v>50</v>
      </c>
      <c r="N44" s="32">
        <f t="shared" si="78"/>
        <v>1</v>
      </c>
      <c r="O44" s="33">
        <f t="shared" si="79"/>
        <v>60</v>
      </c>
      <c r="P44" s="32">
        <f t="shared" si="80"/>
        <v>50</v>
      </c>
      <c r="Q44" s="32">
        <f t="shared" si="81"/>
        <v>1</v>
      </c>
      <c r="R44" s="33">
        <f t="shared" si="82"/>
        <v>60</v>
      </c>
      <c r="S44" s="32">
        <f t="shared" si="83"/>
        <v>50</v>
      </c>
      <c r="T44" s="32">
        <f t="shared" si="84"/>
        <v>1</v>
      </c>
      <c r="U44" s="33">
        <f t="shared" si="85"/>
        <v>60</v>
      </c>
      <c r="V44" s="32">
        <f t="shared" si="86"/>
        <v>50</v>
      </c>
      <c r="W44" s="32">
        <f t="shared" si="87"/>
        <v>1</v>
      </c>
      <c r="X44" s="33">
        <f t="shared" si="88"/>
        <v>60</v>
      </c>
      <c r="Y44" s="32">
        <f t="shared" si="89"/>
        <v>50</v>
      </c>
      <c r="Z44" s="32">
        <f t="shared" si="90"/>
        <v>1</v>
      </c>
      <c r="AA44" s="33">
        <f t="shared" si="91"/>
        <v>60</v>
      </c>
      <c r="AB44" s="32">
        <f t="shared" si="92"/>
        <v>50</v>
      </c>
      <c r="AC44" s="32">
        <f t="shared" si="93"/>
        <v>1</v>
      </c>
      <c r="AD44" s="33">
        <f t="shared" si="94"/>
        <v>60</v>
      </c>
      <c r="AE44" s="32">
        <f t="shared" si="95"/>
        <v>50</v>
      </c>
      <c r="AF44" s="32">
        <f t="shared" si="96"/>
        <v>1</v>
      </c>
      <c r="AG44" s="33">
        <f t="shared" si="97"/>
        <v>60</v>
      </c>
      <c r="AH44" s="32">
        <f t="shared" si="98"/>
        <v>50</v>
      </c>
      <c r="AI44" s="32">
        <f t="shared" si="99"/>
        <v>1</v>
      </c>
      <c r="AJ44" s="33">
        <f t="shared" si="100"/>
        <v>60</v>
      </c>
    </row>
    <row r="45" spans="1:36" x14ac:dyDescent="0.25">
      <c r="A45" s="1" t="s">
        <v>24</v>
      </c>
      <c r="B45" s="18" t="s">
        <v>30</v>
      </c>
      <c r="C45" t="s">
        <v>31</v>
      </c>
      <c r="D45" t="s">
        <v>54</v>
      </c>
      <c r="E45" s="1" t="s">
        <v>59</v>
      </c>
      <c r="F45" s="18" t="s">
        <v>69</v>
      </c>
      <c r="G45" s="32">
        <v>50</v>
      </c>
      <c r="H45" s="32">
        <v>1</v>
      </c>
      <c r="I45" s="33">
        <v>16</v>
      </c>
      <c r="J45" s="32">
        <f t="shared" si="75"/>
        <v>50</v>
      </c>
      <c r="K45" s="32">
        <f t="shared" si="76"/>
        <v>1</v>
      </c>
      <c r="L45" s="33">
        <f t="shared" si="101"/>
        <v>16</v>
      </c>
      <c r="M45" s="32">
        <f t="shared" si="77"/>
        <v>50</v>
      </c>
      <c r="N45" s="32">
        <f t="shared" si="78"/>
        <v>1</v>
      </c>
      <c r="O45" s="33">
        <f t="shared" si="79"/>
        <v>16</v>
      </c>
      <c r="P45" s="32">
        <f t="shared" si="80"/>
        <v>50</v>
      </c>
      <c r="Q45" s="32">
        <f t="shared" si="81"/>
        <v>1</v>
      </c>
      <c r="R45" s="33">
        <f t="shared" si="82"/>
        <v>16</v>
      </c>
      <c r="S45" s="32">
        <f t="shared" si="83"/>
        <v>50</v>
      </c>
      <c r="T45" s="32">
        <f t="shared" si="84"/>
        <v>1</v>
      </c>
      <c r="U45" s="33">
        <f t="shared" si="85"/>
        <v>16</v>
      </c>
      <c r="V45" s="32">
        <f t="shared" si="86"/>
        <v>50</v>
      </c>
      <c r="W45" s="32">
        <f t="shared" si="87"/>
        <v>1</v>
      </c>
      <c r="X45" s="33">
        <f t="shared" si="88"/>
        <v>16</v>
      </c>
      <c r="Y45" s="32">
        <f t="shared" si="89"/>
        <v>50</v>
      </c>
      <c r="Z45" s="32">
        <f t="shared" si="90"/>
        <v>1</v>
      </c>
      <c r="AA45" s="33">
        <f t="shared" si="91"/>
        <v>16</v>
      </c>
      <c r="AB45" s="32">
        <f t="shared" si="92"/>
        <v>50</v>
      </c>
      <c r="AC45" s="32">
        <f t="shared" si="93"/>
        <v>1</v>
      </c>
      <c r="AD45" s="33">
        <f t="shared" si="94"/>
        <v>16</v>
      </c>
      <c r="AE45" s="32">
        <f t="shared" si="95"/>
        <v>50</v>
      </c>
      <c r="AF45" s="32">
        <f t="shared" si="96"/>
        <v>1</v>
      </c>
      <c r="AG45" s="33">
        <f t="shared" si="97"/>
        <v>16</v>
      </c>
      <c r="AH45" s="32">
        <f t="shared" si="98"/>
        <v>50</v>
      </c>
      <c r="AI45" s="32">
        <f t="shared" si="99"/>
        <v>1</v>
      </c>
      <c r="AJ45" s="33">
        <f t="shared" si="100"/>
        <v>16</v>
      </c>
    </row>
    <row r="46" spans="1:36" x14ac:dyDescent="0.25">
      <c r="A46" s="3" t="s">
        <v>24</v>
      </c>
      <c r="B46" s="20" t="s">
        <v>30</v>
      </c>
      <c r="C46" s="2" t="s">
        <v>31</v>
      </c>
      <c r="D46" s="2" t="s">
        <v>54</v>
      </c>
      <c r="E46" s="3" t="s">
        <v>55</v>
      </c>
      <c r="F46" s="20" t="s">
        <v>69</v>
      </c>
      <c r="G46" s="36">
        <v>25</v>
      </c>
      <c r="H46" s="36">
        <v>1</v>
      </c>
      <c r="I46" s="37">
        <v>0</v>
      </c>
      <c r="J46" s="36">
        <f t="shared" si="75"/>
        <v>25</v>
      </c>
      <c r="K46" s="36">
        <f t="shared" si="76"/>
        <v>1</v>
      </c>
      <c r="L46" s="37">
        <f t="shared" si="101"/>
        <v>0</v>
      </c>
      <c r="M46" s="36">
        <f t="shared" si="77"/>
        <v>25</v>
      </c>
      <c r="N46" s="36">
        <f t="shared" si="78"/>
        <v>1</v>
      </c>
      <c r="O46" s="37">
        <f t="shared" si="79"/>
        <v>0</v>
      </c>
      <c r="P46" s="36">
        <f t="shared" si="80"/>
        <v>25</v>
      </c>
      <c r="Q46" s="36">
        <f t="shared" si="81"/>
        <v>1</v>
      </c>
      <c r="R46" s="37">
        <f t="shared" si="82"/>
        <v>0</v>
      </c>
      <c r="S46" s="36">
        <f t="shared" si="83"/>
        <v>25</v>
      </c>
      <c r="T46" s="36">
        <f t="shared" si="84"/>
        <v>1</v>
      </c>
      <c r="U46" s="37">
        <f t="shared" si="85"/>
        <v>0</v>
      </c>
      <c r="V46" s="36">
        <f t="shared" si="86"/>
        <v>25</v>
      </c>
      <c r="W46" s="36">
        <f t="shared" si="87"/>
        <v>1</v>
      </c>
      <c r="X46" s="37">
        <f t="shared" si="88"/>
        <v>0</v>
      </c>
      <c r="Y46" s="36">
        <f t="shared" si="89"/>
        <v>25</v>
      </c>
      <c r="Z46" s="36">
        <f t="shared" si="90"/>
        <v>1</v>
      </c>
      <c r="AA46" s="37">
        <f t="shared" si="91"/>
        <v>0</v>
      </c>
      <c r="AB46" s="36">
        <f t="shared" si="92"/>
        <v>25</v>
      </c>
      <c r="AC46" s="36">
        <f t="shared" si="93"/>
        <v>1</v>
      </c>
      <c r="AD46" s="37">
        <f t="shared" si="94"/>
        <v>0</v>
      </c>
      <c r="AE46" s="36">
        <f t="shared" si="95"/>
        <v>25</v>
      </c>
      <c r="AF46" s="36">
        <f t="shared" si="96"/>
        <v>1</v>
      </c>
      <c r="AG46" s="37">
        <f t="shared" si="97"/>
        <v>0</v>
      </c>
      <c r="AH46" s="36">
        <f t="shared" si="98"/>
        <v>25</v>
      </c>
      <c r="AI46" s="36">
        <f t="shared" si="99"/>
        <v>1</v>
      </c>
      <c r="AJ46" s="37">
        <f t="shared" si="10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861C0-0FAB-446B-B8D1-6060A613ED81}">
  <dimension ref="A1:AU48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13" sqref="G13"/>
    </sheetView>
  </sheetViews>
  <sheetFormatPr defaultRowHeight="15" x14ac:dyDescent="0.25"/>
  <cols>
    <col min="1" max="1" width="12.5703125" customWidth="1"/>
    <col min="2" max="2" width="28.28515625" bestFit="1" customWidth="1"/>
    <col min="3" max="3" width="25.85546875" bestFit="1" customWidth="1"/>
    <col min="4" max="4" width="17.7109375" bestFit="1" customWidth="1"/>
    <col min="5" max="5" width="23.5703125" bestFit="1" customWidth="1"/>
    <col min="6" max="6" width="30.28515625" bestFit="1" customWidth="1"/>
    <col min="9" max="10" width="14.140625" customWidth="1"/>
    <col min="11" max="12" width="9.140625" customWidth="1"/>
    <col min="13" max="14" width="14.28515625" customWidth="1"/>
    <col min="15" max="16" width="9.140625" customWidth="1"/>
    <col min="17" max="18" width="14.85546875" customWidth="1"/>
    <col min="19" max="20" width="9.140625" customWidth="1"/>
    <col min="21" max="22" width="14.5703125" customWidth="1"/>
    <col min="23" max="24" width="9.140625" customWidth="1"/>
    <col min="25" max="26" width="13.42578125" customWidth="1"/>
    <col min="27" max="28" width="9.140625" customWidth="1"/>
    <col min="29" max="30" width="13.85546875" customWidth="1"/>
    <col min="31" max="32" width="9.140625" customWidth="1"/>
    <col min="33" max="34" width="12.85546875" customWidth="1"/>
    <col min="35" max="36" width="9.140625" customWidth="1"/>
    <col min="37" max="38" width="12.85546875" customWidth="1"/>
    <col min="39" max="40" width="9.140625" customWidth="1"/>
    <col min="41" max="42" width="14.5703125" customWidth="1"/>
    <col min="43" max="44" width="9.140625" customWidth="1"/>
    <col min="45" max="45" width="13.42578125" customWidth="1"/>
    <col min="46" max="46" width="9.140625" customWidth="1"/>
  </cols>
  <sheetData>
    <row r="1" spans="1:47" x14ac:dyDescent="0.25"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7" x14ac:dyDescent="0.25">
      <c r="A2" s="5"/>
      <c r="B2" s="15"/>
      <c r="C2" s="4"/>
      <c r="D2" s="4"/>
      <c r="E2" s="5"/>
      <c r="F2" s="25" t="s">
        <v>75</v>
      </c>
      <c r="G2" s="26">
        <v>1</v>
      </c>
      <c r="H2" s="26">
        <v>1</v>
      </c>
      <c r="I2" s="49">
        <v>1</v>
      </c>
      <c r="J2" s="27">
        <v>1</v>
      </c>
      <c r="K2" s="26">
        <f>G2+1</f>
        <v>2</v>
      </c>
      <c r="L2" s="26">
        <f>H2+1</f>
        <v>2</v>
      </c>
      <c r="M2" s="49">
        <f>I2+1</f>
        <v>2</v>
      </c>
      <c r="N2" s="27">
        <f>J2+1</f>
        <v>2</v>
      </c>
      <c r="O2" s="26">
        <f>K2+1</f>
        <v>3</v>
      </c>
      <c r="P2" s="26">
        <f>L2+1</f>
        <v>3</v>
      </c>
      <c r="Q2" s="49">
        <f>M2+1</f>
        <v>3</v>
      </c>
      <c r="R2" s="27">
        <f>N2+1</f>
        <v>3</v>
      </c>
      <c r="S2" s="26">
        <f>O2+1</f>
        <v>4</v>
      </c>
      <c r="T2" s="26">
        <f t="shared" ref="T2" si="0">P2+1</f>
        <v>4</v>
      </c>
      <c r="U2" s="49">
        <f>Q2+1</f>
        <v>4</v>
      </c>
      <c r="V2" s="27">
        <f>R2+1</f>
        <v>4</v>
      </c>
      <c r="W2" s="26">
        <f>S2+1</f>
        <v>5</v>
      </c>
      <c r="X2" s="26">
        <f>T2+1</f>
        <v>5</v>
      </c>
      <c r="Y2" s="49">
        <f>U2+1</f>
        <v>5</v>
      </c>
      <c r="Z2" s="27">
        <f>V2+1</f>
        <v>5</v>
      </c>
      <c r="AA2" s="26">
        <f>W2+1</f>
        <v>6</v>
      </c>
      <c r="AB2" s="26">
        <f>X2+1</f>
        <v>6</v>
      </c>
      <c r="AC2" s="49">
        <f>Y2+1</f>
        <v>6</v>
      </c>
      <c r="AD2" s="27">
        <f>Z2+1</f>
        <v>6</v>
      </c>
      <c r="AE2" s="26">
        <f>AA2+1</f>
        <v>7</v>
      </c>
      <c r="AF2" s="26">
        <f>AB2+1</f>
        <v>7</v>
      </c>
      <c r="AG2" s="49">
        <f>AC2+1</f>
        <v>7</v>
      </c>
      <c r="AH2" s="27">
        <f>AD2+1</f>
        <v>7</v>
      </c>
      <c r="AI2" s="26">
        <f>AE2+1</f>
        <v>8</v>
      </c>
      <c r="AJ2" s="26">
        <f>AF2+1</f>
        <v>8</v>
      </c>
      <c r="AK2" s="49">
        <f>AG2+1</f>
        <v>8</v>
      </c>
      <c r="AL2" s="27">
        <f>AH2+1</f>
        <v>8</v>
      </c>
      <c r="AM2" s="26">
        <f>AI2+1</f>
        <v>9</v>
      </c>
      <c r="AN2" s="26">
        <f>AJ2+1</f>
        <v>9</v>
      </c>
      <c r="AO2" s="49">
        <f>AK2+1</f>
        <v>9</v>
      </c>
      <c r="AP2" s="27">
        <f>AL2+1</f>
        <v>9</v>
      </c>
      <c r="AQ2" s="26">
        <f>AM2+1</f>
        <v>10</v>
      </c>
      <c r="AR2" s="26">
        <f>AN2+1</f>
        <v>10</v>
      </c>
      <c r="AS2" s="49">
        <f>AO2+1</f>
        <v>10</v>
      </c>
      <c r="AT2" s="27">
        <f>AP2+1</f>
        <v>10</v>
      </c>
    </row>
    <row r="3" spans="1:47" ht="45" x14ac:dyDescent="0.25">
      <c r="A3" s="7" t="s">
        <v>0</v>
      </c>
      <c r="B3" s="16" t="s">
        <v>27</v>
      </c>
      <c r="C3" s="6" t="s">
        <v>15</v>
      </c>
      <c r="D3" s="6" t="s">
        <v>2</v>
      </c>
      <c r="E3" s="7" t="s">
        <v>5</v>
      </c>
      <c r="F3" s="16" t="s">
        <v>60</v>
      </c>
      <c r="G3" s="28" t="s">
        <v>8</v>
      </c>
      <c r="H3" s="28" t="s">
        <v>9</v>
      </c>
      <c r="I3" s="42" t="s">
        <v>33</v>
      </c>
      <c r="J3" s="29" t="s">
        <v>82</v>
      </c>
      <c r="K3" s="28" t="s">
        <v>8</v>
      </c>
      <c r="L3" s="28" t="s">
        <v>9</v>
      </c>
      <c r="M3" s="50" t="s">
        <v>33</v>
      </c>
      <c r="N3" s="29" t="s">
        <v>82</v>
      </c>
      <c r="O3" s="28" t="s">
        <v>8</v>
      </c>
      <c r="P3" s="28" t="s">
        <v>9</v>
      </c>
      <c r="Q3" s="50" t="s">
        <v>33</v>
      </c>
      <c r="R3" s="29" t="s">
        <v>82</v>
      </c>
      <c r="S3" s="28" t="s">
        <v>8</v>
      </c>
      <c r="T3" s="28" t="s">
        <v>9</v>
      </c>
      <c r="U3" s="50" t="s">
        <v>33</v>
      </c>
      <c r="V3" s="29" t="s">
        <v>82</v>
      </c>
      <c r="W3" s="28" t="s">
        <v>8</v>
      </c>
      <c r="X3" s="28" t="s">
        <v>9</v>
      </c>
      <c r="Y3" s="50" t="s">
        <v>33</v>
      </c>
      <c r="Z3" s="29" t="s">
        <v>82</v>
      </c>
      <c r="AA3" s="28" t="s">
        <v>8</v>
      </c>
      <c r="AB3" s="28" t="s">
        <v>9</v>
      </c>
      <c r="AC3" s="50" t="s">
        <v>33</v>
      </c>
      <c r="AD3" s="29" t="s">
        <v>82</v>
      </c>
      <c r="AE3" s="28" t="s">
        <v>8</v>
      </c>
      <c r="AF3" s="28" t="s">
        <v>9</v>
      </c>
      <c r="AG3" s="50" t="s">
        <v>33</v>
      </c>
      <c r="AH3" s="29" t="s">
        <v>82</v>
      </c>
      <c r="AI3" s="28" t="s">
        <v>8</v>
      </c>
      <c r="AJ3" s="28" t="s">
        <v>9</v>
      </c>
      <c r="AK3" s="50" t="s">
        <v>33</v>
      </c>
      <c r="AL3" s="29" t="s">
        <v>82</v>
      </c>
      <c r="AM3" s="28" t="s">
        <v>8</v>
      </c>
      <c r="AN3" s="28" t="s">
        <v>9</v>
      </c>
      <c r="AO3" s="50" t="s">
        <v>33</v>
      </c>
      <c r="AP3" s="29" t="s">
        <v>82</v>
      </c>
      <c r="AQ3" s="28" t="s">
        <v>8</v>
      </c>
      <c r="AR3" s="28" t="s">
        <v>9</v>
      </c>
      <c r="AS3" s="50" t="s">
        <v>33</v>
      </c>
      <c r="AT3" s="29" t="s">
        <v>82</v>
      </c>
      <c r="AU3" s="51" t="s">
        <v>81</v>
      </c>
    </row>
    <row r="4" spans="1:47" x14ac:dyDescent="0.25">
      <c r="A4" s="9" t="s">
        <v>1</v>
      </c>
      <c r="B4" s="17"/>
      <c r="C4" s="8" t="s">
        <v>20</v>
      </c>
      <c r="D4" s="8" t="s">
        <v>3</v>
      </c>
      <c r="E4" s="9" t="s">
        <v>7</v>
      </c>
      <c r="F4" s="17" t="s">
        <v>61</v>
      </c>
      <c r="G4" s="30"/>
      <c r="H4" s="30"/>
      <c r="I4" s="43"/>
      <c r="J4" s="31"/>
      <c r="K4" s="30"/>
      <c r="L4" s="30"/>
      <c r="M4" s="43"/>
      <c r="N4" s="31"/>
      <c r="O4" s="30"/>
      <c r="P4" s="30"/>
      <c r="Q4" s="43"/>
      <c r="R4" s="31"/>
      <c r="S4" s="30"/>
      <c r="T4" s="30"/>
      <c r="U4" s="43"/>
      <c r="V4" s="31"/>
      <c r="W4" s="30"/>
      <c r="X4" s="30"/>
      <c r="Y4" s="43"/>
      <c r="Z4" s="31"/>
      <c r="AA4" s="30"/>
      <c r="AB4" s="30"/>
      <c r="AC4" s="43"/>
      <c r="AD4" s="31"/>
      <c r="AE4" s="30"/>
      <c r="AF4" s="30"/>
      <c r="AG4" s="43"/>
      <c r="AH4" s="31"/>
      <c r="AI4" s="30"/>
      <c r="AJ4" s="30"/>
      <c r="AK4" s="43"/>
      <c r="AL4" s="31"/>
      <c r="AM4" s="30"/>
      <c r="AN4" s="30"/>
      <c r="AO4" s="43"/>
      <c r="AP4" s="31"/>
      <c r="AQ4" s="30"/>
      <c r="AR4" s="30"/>
      <c r="AS4" s="43"/>
      <c r="AT4" s="31"/>
      <c r="AU4" t="s">
        <v>83</v>
      </c>
    </row>
    <row r="5" spans="1:47" x14ac:dyDescent="0.25">
      <c r="A5" s="1" t="s">
        <v>1</v>
      </c>
      <c r="B5" s="18"/>
      <c r="C5" t="s">
        <v>20</v>
      </c>
      <c r="D5" t="s">
        <v>4</v>
      </c>
      <c r="E5" s="1" t="s">
        <v>42</v>
      </c>
      <c r="F5" s="18" t="s">
        <v>71</v>
      </c>
      <c r="G5" s="32"/>
      <c r="H5" s="32"/>
      <c r="I5" s="44"/>
      <c r="J5" s="33"/>
      <c r="K5" s="32"/>
      <c r="L5" s="32"/>
      <c r="M5" s="44"/>
      <c r="N5" s="33"/>
      <c r="O5" s="32"/>
      <c r="P5" s="32"/>
      <c r="Q5" s="44"/>
      <c r="R5" s="33"/>
      <c r="S5" s="32"/>
      <c r="T5" s="32"/>
      <c r="U5" s="44"/>
      <c r="V5" s="33"/>
      <c r="W5" s="32"/>
      <c r="X5" s="32"/>
      <c r="Y5" s="44"/>
      <c r="Z5" s="33"/>
      <c r="AA5" s="32"/>
      <c r="AB5" s="32"/>
      <c r="AC5" s="44"/>
      <c r="AD5" s="33"/>
      <c r="AE5" s="32"/>
      <c r="AF5" s="32"/>
      <c r="AG5" s="44"/>
      <c r="AH5" s="33"/>
      <c r="AI5" s="32"/>
      <c r="AJ5" s="32"/>
      <c r="AK5" s="44"/>
      <c r="AL5" s="33"/>
      <c r="AM5" s="32"/>
      <c r="AN5" s="32"/>
      <c r="AO5" s="44"/>
      <c r="AP5" s="33"/>
      <c r="AQ5" s="32"/>
      <c r="AR5" s="32"/>
      <c r="AS5" s="44"/>
      <c r="AT5" s="33"/>
      <c r="AU5" t="s">
        <v>83</v>
      </c>
    </row>
    <row r="6" spans="1:47" x14ac:dyDescent="0.25">
      <c r="A6" s="1" t="s">
        <v>1</v>
      </c>
      <c r="B6" s="18"/>
      <c r="C6" t="s">
        <v>20</v>
      </c>
      <c r="D6" t="s">
        <v>4</v>
      </c>
      <c r="E6" s="1" t="s">
        <v>11</v>
      </c>
      <c r="F6" s="18" t="s">
        <v>71</v>
      </c>
      <c r="G6" s="32"/>
      <c r="H6" s="32"/>
      <c r="I6" s="44"/>
      <c r="J6" s="33"/>
      <c r="K6" s="32"/>
      <c r="L6" s="32"/>
      <c r="M6" s="44"/>
      <c r="N6" s="33"/>
      <c r="O6" s="32"/>
      <c r="P6" s="32"/>
      <c r="Q6" s="44"/>
      <c r="R6" s="33"/>
      <c r="S6" s="32"/>
      <c r="T6" s="32"/>
      <c r="U6" s="44"/>
      <c r="V6" s="33"/>
      <c r="W6" s="32"/>
      <c r="X6" s="32"/>
      <c r="Y6" s="44"/>
      <c r="Z6" s="33"/>
      <c r="AA6" s="32"/>
      <c r="AB6" s="32"/>
      <c r="AC6" s="44"/>
      <c r="AD6" s="33"/>
      <c r="AE6" s="32"/>
      <c r="AF6" s="32"/>
      <c r="AG6" s="44"/>
      <c r="AH6" s="33"/>
      <c r="AI6" s="32"/>
      <c r="AJ6" s="32"/>
      <c r="AK6" s="44"/>
      <c r="AL6" s="33"/>
      <c r="AM6" s="32"/>
      <c r="AN6" s="32"/>
      <c r="AO6" s="44"/>
      <c r="AP6" s="33"/>
      <c r="AQ6" s="32"/>
      <c r="AR6" s="32"/>
      <c r="AS6" s="44"/>
      <c r="AT6" s="33"/>
      <c r="AU6" t="s">
        <v>83</v>
      </c>
    </row>
    <row r="7" spans="1:47" x14ac:dyDescent="0.25">
      <c r="A7" s="11" t="s">
        <v>1</v>
      </c>
      <c r="B7" s="19"/>
      <c r="C7" s="10" t="s">
        <v>20</v>
      </c>
      <c r="D7" s="10" t="s">
        <v>4</v>
      </c>
      <c r="E7" s="11" t="s">
        <v>10</v>
      </c>
      <c r="F7" s="19" t="s">
        <v>71</v>
      </c>
      <c r="G7" s="34"/>
      <c r="H7" s="34"/>
      <c r="I7" s="45"/>
      <c r="J7" s="35"/>
      <c r="K7" s="34"/>
      <c r="L7" s="34"/>
      <c r="M7" s="45"/>
      <c r="N7" s="35"/>
      <c r="O7" s="34"/>
      <c r="P7" s="34"/>
      <c r="Q7" s="45"/>
      <c r="R7" s="35"/>
      <c r="S7" s="34"/>
      <c r="T7" s="34"/>
      <c r="U7" s="45"/>
      <c r="V7" s="35"/>
      <c r="W7" s="34"/>
      <c r="X7" s="34"/>
      <c r="Y7" s="45"/>
      <c r="Z7" s="35"/>
      <c r="AA7" s="34"/>
      <c r="AB7" s="34"/>
      <c r="AC7" s="45"/>
      <c r="AD7" s="35"/>
      <c r="AE7" s="34"/>
      <c r="AF7" s="34"/>
      <c r="AG7" s="45"/>
      <c r="AH7" s="35"/>
      <c r="AI7" s="34"/>
      <c r="AJ7" s="34"/>
      <c r="AK7" s="45"/>
      <c r="AL7" s="35"/>
      <c r="AM7" s="34"/>
      <c r="AN7" s="34"/>
      <c r="AO7" s="45"/>
      <c r="AP7" s="35"/>
      <c r="AQ7" s="34"/>
      <c r="AR7" s="34"/>
      <c r="AS7" s="45"/>
      <c r="AT7" s="35"/>
      <c r="AU7" t="s">
        <v>83</v>
      </c>
    </row>
    <row r="8" spans="1:47" x14ac:dyDescent="0.25">
      <c r="A8" s="1" t="s">
        <v>1</v>
      </c>
      <c r="B8" s="18"/>
      <c r="C8" t="s">
        <v>20</v>
      </c>
      <c r="D8" t="s">
        <v>6</v>
      </c>
      <c r="E8" s="1" t="s">
        <v>12</v>
      </c>
      <c r="F8" s="18" t="s">
        <v>70</v>
      </c>
      <c r="G8" s="32"/>
      <c r="H8" s="32"/>
      <c r="I8" s="44"/>
      <c r="J8" s="33"/>
      <c r="K8" s="32"/>
      <c r="L8" s="32"/>
      <c r="M8" s="44"/>
      <c r="N8" s="33"/>
      <c r="O8" s="32"/>
      <c r="P8" s="32"/>
      <c r="Q8" s="44"/>
      <c r="R8" s="33"/>
      <c r="S8" s="32"/>
      <c r="T8" s="32"/>
      <c r="U8" s="44"/>
      <c r="V8" s="33"/>
      <c r="W8" s="32"/>
      <c r="X8" s="32"/>
      <c r="Y8" s="44"/>
      <c r="Z8" s="33"/>
      <c r="AA8" s="32"/>
      <c r="AB8" s="32"/>
      <c r="AC8" s="44"/>
      <c r="AD8" s="33"/>
      <c r="AE8" s="32"/>
      <c r="AF8" s="32"/>
      <c r="AG8" s="44"/>
      <c r="AH8" s="33"/>
      <c r="AI8" s="32"/>
      <c r="AJ8" s="32"/>
      <c r="AK8" s="44"/>
      <c r="AL8" s="33"/>
      <c r="AM8" s="32"/>
      <c r="AN8" s="32"/>
      <c r="AO8" s="44"/>
      <c r="AP8" s="33"/>
      <c r="AQ8" s="32"/>
      <c r="AR8" s="32"/>
      <c r="AS8" s="44"/>
      <c r="AT8" s="33"/>
      <c r="AU8" t="s">
        <v>83</v>
      </c>
    </row>
    <row r="9" spans="1:47" x14ac:dyDescent="0.25">
      <c r="A9" s="3" t="s">
        <v>1</v>
      </c>
      <c r="B9" s="20"/>
      <c r="C9" s="2" t="s">
        <v>20</v>
      </c>
      <c r="D9" s="2" t="s">
        <v>6</v>
      </c>
      <c r="E9" s="3" t="s">
        <v>13</v>
      </c>
      <c r="F9" s="20" t="s">
        <v>70</v>
      </c>
      <c r="G9" s="36"/>
      <c r="H9" s="36"/>
      <c r="I9" s="46"/>
      <c r="J9" s="37"/>
      <c r="K9" s="36"/>
      <c r="L9" s="36"/>
      <c r="M9" s="46"/>
      <c r="N9" s="37"/>
      <c r="O9" s="36"/>
      <c r="P9" s="36"/>
      <c r="Q9" s="46"/>
      <c r="R9" s="37"/>
      <c r="S9" s="36"/>
      <c r="T9" s="36"/>
      <c r="U9" s="46"/>
      <c r="V9" s="37"/>
      <c r="W9" s="36"/>
      <c r="X9" s="36"/>
      <c r="Y9" s="46"/>
      <c r="Z9" s="37"/>
      <c r="AA9" s="36"/>
      <c r="AB9" s="36"/>
      <c r="AC9" s="46"/>
      <c r="AD9" s="37"/>
      <c r="AE9" s="36"/>
      <c r="AF9" s="36"/>
      <c r="AG9" s="46"/>
      <c r="AH9" s="37"/>
      <c r="AI9" s="36"/>
      <c r="AJ9" s="36"/>
      <c r="AK9" s="46"/>
      <c r="AL9" s="37"/>
      <c r="AM9" s="36"/>
      <c r="AN9" s="36"/>
      <c r="AO9" s="46"/>
      <c r="AP9" s="37"/>
      <c r="AQ9" s="36"/>
      <c r="AR9" s="36"/>
      <c r="AS9" s="46"/>
      <c r="AT9" s="37"/>
      <c r="AU9" t="s">
        <v>83</v>
      </c>
    </row>
    <row r="10" spans="1:47" x14ac:dyDescent="0.25">
      <c r="A10" s="9" t="s">
        <v>14</v>
      </c>
      <c r="B10" s="17" t="s">
        <v>28</v>
      </c>
      <c r="C10" s="8" t="s">
        <v>16</v>
      </c>
      <c r="D10" s="8" t="s">
        <v>3</v>
      </c>
      <c r="E10" s="9" t="s">
        <v>26</v>
      </c>
      <c r="F10" s="17" t="s">
        <v>61</v>
      </c>
      <c r="G10" s="30"/>
      <c r="H10" s="30"/>
      <c r="I10" s="43"/>
      <c r="J10" s="31"/>
      <c r="K10" s="30"/>
      <c r="L10" s="30"/>
      <c r="M10" s="43"/>
      <c r="N10" s="31"/>
      <c r="O10" s="30"/>
      <c r="P10" s="30"/>
      <c r="Q10" s="43"/>
      <c r="R10" s="31"/>
      <c r="S10" s="30"/>
      <c r="T10" s="30"/>
      <c r="U10" s="43"/>
      <c r="V10" s="31"/>
      <c r="W10" s="30"/>
      <c r="X10" s="30"/>
      <c r="Y10" s="43"/>
      <c r="Z10" s="31"/>
      <c r="AA10" s="30"/>
      <c r="AB10" s="30"/>
      <c r="AC10" s="43"/>
      <c r="AD10" s="31"/>
      <c r="AE10" s="30"/>
      <c r="AF10" s="30"/>
      <c r="AG10" s="43"/>
      <c r="AH10" s="31"/>
      <c r="AI10" s="30"/>
      <c r="AJ10" s="30"/>
      <c r="AK10" s="43"/>
      <c r="AL10" s="31"/>
      <c r="AM10" s="30"/>
      <c r="AN10" s="30"/>
      <c r="AO10" s="43"/>
      <c r="AP10" s="31"/>
      <c r="AQ10" s="30"/>
      <c r="AR10" s="30"/>
      <c r="AS10" s="43"/>
      <c r="AT10" s="31"/>
      <c r="AU10" t="s">
        <v>83</v>
      </c>
    </row>
    <row r="11" spans="1:47" x14ac:dyDescent="0.25">
      <c r="A11" s="1" t="s">
        <v>14</v>
      </c>
      <c r="B11" s="18" t="s">
        <v>28</v>
      </c>
      <c r="C11" t="s">
        <v>16</v>
      </c>
      <c r="D11" t="s">
        <v>4</v>
      </c>
      <c r="E11" s="1" t="s">
        <v>37</v>
      </c>
      <c r="F11" s="18" t="s">
        <v>71</v>
      </c>
      <c r="G11" s="32"/>
      <c r="H11" s="32"/>
      <c r="I11" s="44"/>
      <c r="J11" s="33"/>
      <c r="K11" s="32"/>
      <c r="L11" s="32"/>
      <c r="M11" s="44"/>
      <c r="N11" s="33"/>
      <c r="O11" s="32"/>
      <c r="P11" s="32"/>
      <c r="Q11" s="44"/>
      <c r="R11" s="33"/>
      <c r="S11" s="32"/>
      <c r="T11" s="32"/>
      <c r="U11" s="44"/>
      <c r="V11" s="33"/>
      <c r="W11" s="32"/>
      <c r="X11" s="32"/>
      <c r="Y11" s="44"/>
      <c r="Z11" s="33"/>
      <c r="AA11" s="32"/>
      <c r="AB11" s="32"/>
      <c r="AC11" s="44"/>
      <c r="AD11" s="33"/>
      <c r="AE11" s="32"/>
      <c r="AF11" s="32"/>
      <c r="AG11" s="44"/>
      <c r="AH11" s="33"/>
      <c r="AI11" s="32"/>
      <c r="AJ11" s="32"/>
      <c r="AK11" s="44"/>
      <c r="AL11" s="33"/>
      <c r="AM11" s="32"/>
      <c r="AN11" s="32"/>
      <c r="AO11" s="44"/>
      <c r="AP11" s="33"/>
      <c r="AQ11" s="32"/>
      <c r="AR11" s="32"/>
      <c r="AS11" s="44"/>
      <c r="AT11" s="33"/>
      <c r="AU11" t="s">
        <v>83</v>
      </c>
    </row>
    <row r="12" spans="1:47" x14ac:dyDescent="0.25">
      <c r="A12" s="1" t="s">
        <v>14</v>
      </c>
      <c r="B12" s="18" t="s">
        <v>28</v>
      </c>
      <c r="C12" t="s">
        <v>16</v>
      </c>
      <c r="D12" t="s">
        <v>4</v>
      </c>
      <c r="E12" s="1" t="s">
        <v>38</v>
      </c>
      <c r="F12" s="18" t="s">
        <v>71</v>
      </c>
      <c r="G12" s="32"/>
      <c r="H12" s="32"/>
      <c r="I12" s="44"/>
      <c r="J12" s="33"/>
      <c r="K12" s="32"/>
      <c r="L12" s="32"/>
      <c r="M12" s="44"/>
      <c r="N12" s="33"/>
      <c r="O12" s="32"/>
      <c r="P12" s="32"/>
      <c r="Q12" s="44"/>
      <c r="R12" s="33"/>
      <c r="S12" s="32"/>
      <c r="T12" s="32"/>
      <c r="U12" s="44"/>
      <c r="V12" s="33"/>
      <c r="W12" s="32"/>
      <c r="X12" s="32"/>
      <c r="Y12" s="44"/>
      <c r="Z12" s="33"/>
      <c r="AA12" s="32"/>
      <c r="AB12" s="32"/>
      <c r="AC12" s="44"/>
      <c r="AD12" s="33"/>
      <c r="AE12" s="32"/>
      <c r="AF12" s="32"/>
      <c r="AG12" s="44"/>
      <c r="AH12" s="33"/>
      <c r="AI12" s="32"/>
      <c r="AJ12" s="32"/>
      <c r="AK12" s="44"/>
      <c r="AL12" s="33"/>
      <c r="AM12" s="32"/>
      <c r="AN12" s="32"/>
      <c r="AO12" s="44"/>
      <c r="AP12" s="33"/>
      <c r="AQ12" s="32"/>
      <c r="AR12" s="32"/>
      <c r="AS12" s="44"/>
      <c r="AT12" s="33"/>
      <c r="AU12" t="s">
        <v>83</v>
      </c>
    </row>
    <row r="13" spans="1:47" x14ac:dyDescent="0.25">
      <c r="A13" s="1" t="s">
        <v>14</v>
      </c>
      <c r="B13" s="18" t="s">
        <v>28</v>
      </c>
      <c r="C13" t="s">
        <v>16</v>
      </c>
      <c r="D13" t="s">
        <v>4</v>
      </c>
      <c r="E13" s="1" t="s">
        <v>40</v>
      </c>
      <c r="F13" s="18" t="s">
        <v>71</v>
      </c>
      <c r="G13" s="32"/>
      <c r="H13" s="32"/>
      <c r="I13" s="44"/>
      <c r="J13" s="33"/>
      <c r="K13" s="32"/>
      <c r="L13" s="32"/>
      <c r="M13" s="44"/>
      <c r="N13" s="33"/>
      <c r="O13" s="32"/>
      <c r="P13" s="32"/>
      <c r="Q13" s="44"/>
      <c r="R13" s="33"/>
      <c r="S13" s="32"/>
      <c r="T13" s="32"/>
      <c r="U13" s="44"/>
      <c r="V13" s="33"/>
      <c r="W13" s="32"/>
      <c r="X13" s="32"/>
      <c r="Y13" s="44"/>
      <c r="Z13" s="33"/>
      <c r="AA13" s="32"/>
      <c r="AB13" s="32"/>
      <c r="AC13" s="44"/>
      <c r="AD13" s="33"/>
      <c r="AE13" s="32"/>
      <c r="AF13" s="32"/>
      <c r="AG13" s="44"/>
      <c r="AH13" s="33"/>
      <c r="AI13" s="32"/>
      <c r="AJ13" s="32"/>
      <c r="AK13" s="44"/>
      <c r="AL13" s="33"/>
      <c r="AM13" s="32"/>
      <c r="AN13" s="32"/>
      <c r="AO13" s="44"/>
      <c r="AP13" s="33"/>
      <c r="AQ13" s="32"/>
      <c r="AR13" s="32"/>
      <c r="AS13" s="44"/>
      <c r="AT13" s="33"/>
      <c r="AU13" t="s">
        <v>83</v>
      </c>
    </row>
    <row r="14" spans="1:47" x14ac:dyDescent="0.25">
      <c r="A14" s="11" t="s">
        <v>14</v>
      </c>
      <c r="B14" s="19" t="s">
        <v>28</v>
      </c>
      <c r="C14" s="10" t="s">
        <v>16</v>
      </c>
      <c r="D14" s="10" t="s">
        <v>76</v>
      </c>
      <c r="E14" s="11" t="s">
        <v>39</v>
      </c>
      <c r="F14" s="19" t="s">
        <v>71</v>
      </c>
      <c r="G14" s="34"/>
      <c r="H14" s="34"/>
      <c r="I14" s="45"/>
      <c r="J14" s="35"/>
      <c r="K14" s="34"/>
      <c r="L14" s="34"/>
      <c r="M14" s="45"/>
      <c r="N14" s="35"/>
      <c r="O14" s="34"/>
      <c r="P14" s="34"/>
      <c r="Q14" s="45"/>
      <c r="R14" s="35"/>
      <c r="S14" s="34"/>
      <c r="T14" s="34"/>
      <c r="U14" s="45"/>
      <c r="V14" s="35"/>
      <c r="W14" s="34"/>
      <c r="X14" s="34"/>
      <c r="Y14" s="45"/>
      <c r="Z14" s="35"/>
      <c r="AA14" s="34"/>
      <c r="AB14" s="34"/>
      <c r="AC14" s="45"/>
      <c r="AD14" s="35"/>
      <c r="AE14" s="34"/>
      <c r="AF14" s="34"/>
      <c r="AG14" s="45"/>
      <c r="AH14" s="35"/>
      <c r="AI14" s="34"/>
      <c r="AJ14" s="34"/>
      <c r="AK14" s="45"/>
      <c r="AL14" s="35"/>
      <c r="AM14" s="34"/>
      <c r="AN14" s="34"/>
      <c r="AO14" s="45"/>
      <c r="AP14" s="35"/>
      <c r="AQ14" s="34"/>
      <c r="AR14" s="34"/>
      <c r="AS14" s="45"/>
      <c r="AT14" s="35"/>
      <c r="AU14" t="s">
        <v>83</v>
      </c>
    </row>
    <row r="15" spans="1:47" x14ac:dyDescent="0.25">
      <c r="A15" s="1" t="s">
        <v>14</v>
      </c>
      <c r="B15" s="18" t="s">
        <v>28</v>
      </c>
      <c r="C15" t="s">
        <v>16</v>
      </c>
      <c r="D15" t="s">
        <v>6</v>
      </c>
      <c r="E15" s="1" t="s">
        <v>35</v>
      </c>
      <c r="F15" s="18" t="s">
        <v>70</v>
      </c>
      <c r="G15" s="32"/>
      <c r="H15" s="32"/>
      <c r="I15" s="44"/>
      <c r="J15" s="33"/>
      <c r="K15" s="32"/>
      <c r="L15" s="32"/>
      <c r="M15" s="44"/>
      <c r="N15" s="33"/>
      <c r="O15" s="32"/>
      <c r="P15" s="32"/>
      <c r="Q15" s="44"/>
      <c r="R15" s="33"/>
      <c r="S15" s="32"/>
      <c r="T15" s="32"/>
      <c r="U15" s="44"/>
      <c r="V15" s="33"/>
      <c r="W15" s="32"/>
      <c r="X15" s="32"/>
      <c r="Y15" s="44"/>
      <c r="Z15" s="33"/>
      <c r="AA15" s="32"/>
      <c r="AB15" s="32"/>
      <c r="AC15" s="44"/>
      <c r="AD15" s="33"/>
      <c r="AE15" s="32"/>
      <c r="AF15" s="32"/>
      <c r="AG15" s="44"/>
      <c r="AH15" s="33"/>
      <c r="AI15" s="32"/>
      <c r="AJ15" s="32"/>
      <c r="AK15" s="44"/>
      <c r="AL15" s="33"/>
      <c r="AM15" s="32"/>
      <c r="AN15" s="32"/>
      <c r="AO15" s="44"/>
      <c r="AP15" s="33"/>
      <c r="AQ15" s="32"/>
      <c r="AR15" s="32"/>
      <c r="AS15" s="44"/>
      <c r="AT15" s="33"/>
      <c r="AU15" t="s">
        <v>83</v>
      </c>
    </row>
    <row r="16" spans="1:47" x14ac:dyDescent="0.25">
      <c r="A16" s="3" t="s">
        <v>14</v>
      </c>
      <c r="B16" s="20" t="s">
        <v>28</v>
      </c>
      <c r="C16" s="2" t="s">
        <v>16</v>
      </c>
      <c r="D16" s="2" t="s">
        <v>6</v>
      </c>
      <c r="E16" s="3" t="s">
        <v>36</v>
      </c>
      <c r="F16" s="20" t="s">
        <v>70</v>
      </c>
      <c r="G16" s="36"/>
      <c r="H16" s="36"/>
      <c r="I16" s="46"/>
      <c r="J16" s="37"/>
      <c r="K16" s="36"/>
      <c r="L16" s="36"/>
      <c r="M16" s="46"/>
      <c r="N16" s="37"/>
      <c r="O16" s="36"/>
      <c r="P16" s="36"/>
      <c r="Q16" s="46"/>
      <c r="R16" s="37"/>
      <c r="S16" s="36"/>
      <c r="T16" s="36"/>
      <c r="U16" s="46"/>
      <c r="V16" s="37"/>
      <c r="W16" s="36"/>
      <c r="X16" s="36"/>
      <c r="Y16" s="46"/>
      <c r="Z16" s="37"/>
      <c r="AA16" s="36"/>
      <c r="AB16" s="36"/>
      <c r="AC16" s="46"/>
      <c r="AD16" s="37"/>
      <c r="AE16" s="36"/>
      <c r="AF16" s="36"/>
      <c r="AG16" s="46"/>
      <c r="AH16" s="37"/>
      <c r="AI16" s="36"/>
      <c r="AJ16" s="36"/>
      <c r="AK16" s="46"/>
      <c r="AL16" s="37"/>
      <c r="AM16" s="36"/>
      <c r="AN16" s="36"/>
      <c r="AO16" s="46"/>
      <c r="AP16" s="37"/>
      <c r="AQ16" s="36"/>
      <c r="AR16" s="36"/>
      <c r="AS16" s="46"/>
      <c r="AT16" s="37"/>
      <c r="AU16" t="s">
        <v>83</v>
      </c>
    </row>
    <row r="17" spans="1:47" x14ac:dyDescent="0.25">
      <c r="A17" s="9" t="s">
        <v>17</v>
      </c>
      <c r="B17" s="17" t="s">
        <v>29</v>
      </c>
      <c r="C17" s="8" t="s">
        <v>18</v>
      </c>
      <c r="D17" s="8" t="s">
        <v>34</v>
      </c>
      <c r="E17" s="9" t="s">
        <v>25</v>
      </c>
      <c r="F17" s="17" t="s">
        <v>62</v>
      </c>
      <c r="G17" s="30"/>
      <c r="H17" s="30"/>
      <c r="I17" s="43"/>
      <c r="J17" s="31"/>
      <c r="K17" s="30"/>
      <c r="L17" s="30"/>
      <c r="M17" s="43"/>
      <c r="N17" s="31"/>
      <c r="O17" s="30"/>
      <c r="P17" s="30"/>
      <c r="Q17" s="43"/>
      <c r="R17" s="31"/>
      <c r="S17" s="30"/>
      <c r="T17" s="30"/>
      <c r="U17" s="43"/>
      <c r="V17" s="31"/>
      <c r="W17" s="30"/>
      <c r="X17" s="30"/>
      <c r="Y17" s="43"/>
      <c r="Z17" s="31"/>
      <c r="AA17" s="30"/>
      <c r="AB17" s="30"/>
      <c r="AC17" s="43"/>
      <c r="AD17" s="31"/>
      <c r="AE17" s="30"/>
      <c r="AF17" s="30"/>
      <c r="AG17" s="43"/>
      <c r="AH17" s="31"/>
      <c r="AI17" s="30"/>
      <c r="AJ17" s="30"/>
      <c r="AK17" s="43"/>
      <c r="AL17" s="31"/>
      <c r="AM17" s="30"/>
      <c r="AN17" s="30"/>
      <c r="AO17" s="43"/>
      <c r="AP17" s="31"/>
      <c r="AQ17" s="30"/>
      <c r="AR17" s="30"/>
      <c r="AS17" s="43"/>
      <c r="AT17" s="31"/>
      <c r="AU17" t="s">
        <v>84</v>
      </c>
    </row>
    <row r="18" spans="1:47" x14ac:dyDescent="0.25">
      <c r="A18" s="9" t="s">
        <v>19</v>
      </c>
      <c r="B18" s="17" t="s">
        <v>28</v>
      </c>
      <c r="C18" s="8" t="s">
        <v>21</v>
      </c>
      <c r="D18" s="8" t="s">
        <v>3</v>
      </c>
      <c r="E18" s="9" t="s">
        <v>41</v>
      </c>
      <c r="F18" s="17" t="s">
        <v>61</v>
      </c>
      <c r="G18" s="30"/>
      <c r="H18" s="30"/>
      <c r="I18" s="43"/>
      <c r="J18" s="31"/>
      <c r="K18" s="30"/>
      <c r="L18" s="30"/>
      <c r="M18" s="43"/>
      <c r="N18" s="31"/>
      <c r="O18" s="30"/>
      <c r="P18" s="30"/>
      <c r="Q18" s="43"/>
      <c r="R18" s="31"/>
      <c r="S18" s="30"/>
      <c r="T18" s="30"/>
      <c r="U18" s="43"/>
      <c r="V18" s="31"/>
      <c r="W18" s="30"/>
      <c r="X18" s="30"/>
      <c r="Y18" s="43"/>
      <c r="Z18" s="31"/>
      <c r="AA18" s="30"/>
      <c r="AB18" s="30"/>
      <c r="AC18" s="43"/>
      <c r="AD18" s="31"/>
      <c r="AE18" s="30"/>
      <c r="AF18" s="30"/>
      <c r="AG18" s="43"/>
      <c r="AH18" s="31"/>
      <c r="AI18" s="30"/>
      <c r="AJ18" s="30"/>
      <c r="AK18" s="43"/>
      <c r="AL18" s="31"/>
      <c r="AM18" s="30"/>
      <c r="AN18" s="30"/>
      <c r="AO18" s="43"/>
      <c r="AP18" s="31"/>
      <c r="AQ18" s="30"/>
      <c r="AR18" s="30"/>
      <c r="AS18" s="43"/>
      <c r="AT18" s="31"/>
      <c r="AU18" t="s">
        <v>83</v>
      </c>
    </row>
    <row r="19" spans="1:47" x14ac:dyDescent="0.25">
      <c r="A19" s="1" t="s">
        <v>19</v>
      </c>
      <c r="B19" s="18" t="s">
        <v>28</v>
      </c>
      <c r="C19" t="s">
        <v>21</v>
      </c>
      <c r="D19" t="s">
        <v>4</v>
      </c>
      <c r="E19" s="1" t="s">
        <v>43</v>
      </c>
      <c r="F19" s="18" t="s">
        <v>71</v>
      </c>
      <c r="G19" s="32"/>
      <c r="H19" s="32"/>
      <c r="I19" s="44"/>
      <c r="J19" s="33"/>
      <c r="K19" s="32"/>
      <c r="L19" s="32"/>
      <c r="M19" s="44"/>
      <c r="N19" s="33"/>
      <c r="O19" s="32"/>
      <c r="P19" s="32"/>
      <c r="Q19" s="44"/>
      <c r="R19" s="33"/>
      <c r="S19" s="32"/>
      <c r="T19" s="32"/>
      <c r="U19" s="44"/>
      <c r="V19" s="33"/>
      <c r="W19" s="32"/>
      <c r="X19" s="32"/>
      <c r="Y19" s="44"/>
      <c r="Z19" s="33"/>
      <c r="AA19" s="32"/>
      <c r="AB19" s="32"/>
      <c r="AC19" s="44"/>
      <c r="AD19" s="33"/>
      <c r="AE19" s="32"/>
      <c r="AF19" s="32"/>
      <c r="AG19" s="44"/>
      <c r="AH19" s="33"/>
      <c r="AI19" s="32"/>
      <c r="AJ19" s="32"/>
      <c r="AK19" s="44"/>
      <c r="AL19" s="33"/>
      <c r="AM19" s="32"/>
      <c r="AN19" s="32"/>
      <c r="AO19" s="44"/>
      <c r="AP19" s="33"/>
      <c r="AQ19" s="32"/>
      <c r="AR19" s="32"/>
      <c r="AS19" s="44"/>
      <c r="AT19" s="33"/>
      <c r="AU19" t="s">
        <v>83</v>
      </c>
    </row>
    <row r="20" spans="1:47" x14ac:dyDescent="0.25">
      <c r="A20" s="1" t="s">
        <v>19</v>
      </c>
      <c r="B20" s="18" t="s">
        <v>28</v>
      </c>
      <c r="C20" t="s">
        <v>21</v>
      </c>
      <c r="D20" t="s">
        <v>4</v>
      </c>
      <c r="E20" s="1" t="s">
        <v>44</v>
      </c>
      <c r="F20" s="18" t="s">
        <v>71</v>
      </c>
      <c r="G20" s="32"/>
      <c r="H20" s="32"/>
      <c r="I20" s="44"/>
      <c r="J20" s="33"/>
      <c r="K20" s="32"/>
      <c r="L20" s="32"/>
      <c r="M20" s="44"/>
      <c r="N20" s="33"/>
      <c r="O20" s="32"/>
      <c r="P20" s="32"/>
      <c r="Q20" s="44"/>
      <c r="R20" s="33"/>
      <c r="S20" s="32"/>
      <c r="T20" s="32"/>
      <c r="U20" s="44"/>
      <c r="V20" s="33"/>
      <c r="W20" s="32"/>
      <c r="X20" s="32"/>
      <c r="Y20" s="44"/>
      <c r="Z20" s="33"/>
      <c r="AA20" s="32"/>
      <c r="AB20" s="32"/>
      <c r="AC20" s="44"/>
      <c r="AD20" s="33"/>
      <c r="AE20" s="32"/>
      <c r="AF20" s="32"/>
      <c r="AG20" s="44"/>
      <c r="AH20" s="33"/>
      <c r="AI20" s="32"/>
      <c r="AJ20" s="32"/>
      <c r="AK20" s="44"/>
      <c r="AL20" s="33"/>
      <c r="AM20" s="32"/>
      <c r="AN20" s="32"/>
      <c r="AO20" s="44"/>
      <c r="AP20" s="33"/>
      <c r="AQ20" s="32"/>
      <c r="AR20" s="32"/>
      <c r="AS20" s="44"/>
      <c r="AT20" s="33"/>
      <c r="AU20" t="s">
        <v>83</v>
      </c>
    </row>
    <row r="21" spans="1:47" x14ac:dyDescent="0.25">
      <c r="A21" s="1" t="s">
        <v>19</v>
      </c>
      <c r="B21" s="18" t="s">
        <v>28</v>
      </c>
      <c r="C21" t="s">
        <v>21</v>
      </c>
      <c r="D21" t="s">
        <v>4</v>
      </c>
      <c r="E21" s="1" t="s">
        <v>77</v>
      </c>
      <c r="F21" s="18" t="s">
        <v>71</v>
      </c>
      <c r="G21" s="32"/>
      <c r="H21" s="32"/>
      <c r="I21" s="44"/>
      <c r="J21" s="33"/>
      <c r="K21" s="32"/>
      <c r="L21" s="32"/>
      <c r="M21" s="44"/>
      <c r="N21" s="33"/>
      <c r="O21" s="32"/>
      <c r="P21" s="32"/>
      <c r="Q21" s="44"/>
      <c r="R21" s="33"/>
      <c r="S21" s="32"/>
      <c r="T21" s="32"/>
      <c r="U21" s="44"/>
      <c r="V21" s="33"/>
      <c r="W21" s="32"/>
      <c r="X21" s="32"/>
      <c r="Y21" s="44"/>
      <c r="Z21" s="33"/>
      <c r="AA21" s="32"/>
      <c r="AB21" s="32"/>
      <c r="AC21" s="44"/>
      <c r="AD21" s="33"/>
      <c r="AE21" s="32"/>
      <c r="AF21" s="32"/>
      <c r="AG21" s="44"/>
      <c r="AH21" s="33"/>
      <c r="AI21" s="32"/>
      <c r="AJ21" s="32"/>
      <c r="AK21" s="44"/>
      <c r="AL21" s="33"/>
      <c r="AM21" s="32"/>
      <c r="AN21" s="32"/>
      <c r="AO21" s="44"/>
      <c r="AP21" s="33"/>
      <c r="AQ21" s="32"/>
      <c r="AR21" s="32"/>
      <c r="AS21" s="44"/>
      <c r="AT21" s="33"/>
      <c r="AU21" t="s">
        <v>83</v>
      </c>
    </row>
    <row r="22" spans="1:47" x14ac:dyDescent="0.25">
      <c r="A22" s="11" t="s">
        <v>19</v>
      </c>
      <c r="B22" s="19" t="s">
        <v>28</v>
      </c>
      <c r="C22" s="10" t="s">
        <v>21</v>
      </c>
      <c r="D22" s="10" t="s">
        <v>76</v>
      </c>
      <c r="E22" s="11" t="s">
        <v>45</v>
      </c>
      <c r="F22" s="19" t="s">
        <v>71</v>
      </c>
      <c r="G22" s="34"/>
      <c r="H22" s="34"/>
      <c r="I22" s="45"/>
      <c r="J22" s="35"/>
      <c r="K22" s="34"/>
      <c r="L22" s="34"/>
      <c r="M22" s="45"/>
      <c r="N22" s="35"/>
      <c r="O22" s="34"/>
      <c r="P22" s="34"/>
      <c r="Q22" s="45"/>
      <c r="R22" s="35"/>
      <c r="S22" s="34"/>
      <c r="T22" s="34"/>
      <c r="U22" s="45"/>
      <c r="V22" s="35"/>
      <c r="W22" s="34"/>
      <c r="X22" s="34"/>
      <c r="Y22" s="45"/>
      <c r="Z22" s="35"/>
      <c r="AA22" s="34"/>
      <c r="AB22" s="34"/>
      <c r="AC22" s="45"/>
      <c r="AD22" s="35"/>
      <c r="AE22" s="34"/>
      <c r="AF22" s="34"/>
      <c r="AG22" s="45"/>
      <c r="AH22" s="35"/>
      <c r="AI22" s="34"/>
      <c r="AJ22" s="34"/>
      <c r="AK22" s="45"/>
      <c r="AL22" s="35"/>
      <c r="AM22" s="34"/>
      <c r="AN22" s="34"/>
      <c r="AO22" s="45"/>
      <c r="AP22" s="35"/>
      <c r="AQ22" s="34"/>
      <c r="AR22" s="34"/>
      <c r="AS22" s="45"/>
      <c r="AT22" s="35"/>
      <c r="AU22" t="s">
        <v>83</v>
      </c>
    </row>
    <row r="23" spans="1:47" x14ac:dyDescent="0.25">
      <c r="A23" s="1" t="s">
        <v>19</v>
      </c>
      <c r="B23" s="18" t="s">
        <v>28</v>
      </c>
      <c r="C23" t="s">
        <v>21</v>
      </c>
      <c r="D23" t="s">
        <v>6</v>
      </c>
      <c r="E23" s="1" t="s">
        <v>12</v>
      </c>
      <c r="F23" s="18" t="s">
        <v>70</v>
      </c>
      <c r="G23" s="32"/>
      <c r="H23" s="32"/>
      <c r="I23" s="44"/>
      <c r="J23" s="33"/>
      <c r="K23" s="32"/>
      <c r="L23" s="32"/>
      <c r="M23" s="44"/>
      <c r="N23" s="33"/>
      <c r="O23" s="32"/>
      <c r="P23" s="32"/>
      <c r="Q23" s="44"/>
      <c r="R23" s="33"/>
      <c r="S23" s="32"/>
      <c r="T23" s="32"/>
      <c r="U23" s="44"/>
      <c r="V23" s="33"/>
      <c r="W23" s="32"/>
      <c r="X23" s="32"/>
      <c r="Y23" s="44"/>
      <c r="Z23" s="33"/>
      <c r="AA23" s="32"/>
      <c r="AB23" s="32"/>
      <c r="AC23" s="44"/>
      <c r="AD23" s="33"/>
      <c r="AE23" s="32"/>
      <c r="AF23" s="32"/>
      <c r="AG23" s="44"/>
      <c r="AH23" s="33"/>
      <c r="AI23" s="32"/>
      <c r="AJ23" s="32"/>
      <c r="AK23" s="44"/>
      <c r="AL23" s="33"/>
      <c r="AM23" s="32"/>
      <c r="AN23" s="32"/>
      <c r="AO23" s="44"/>
      <c r="AP23" s="33"/>
      <c r="AQ23" s="32"/>
      <c r="AR23" s="32"/>
      <c r="AS23" s="44"/>
      <c r="AT23" s="33"/>
      <c r="AU23" t="s">
        <v>83</v>
      </c>
    </row>
    <row r="24" spans="1:47" x14ac:dyDescent="0.25">
      <c r="A24" s="3" t="s">
        <v>19</v>
      </c>
      <c r="B24" s="20" t="s">
        <v>28</v>
      </c>
      <c r="C24" s="2" t="s">
        <v>21</v>
      </c>
      <c r="D24" s="2" t="s">
        <v>6</v>
      </c>
      <c r="E24" s="3" t="s">
        <v>13</v>
      </c>
      <c r="F24" s="20" t="s">
        <v>70</v>
      </c>
      <c r="G24" s="36"/>
      <c r="H24" s="36"/>
      <c r="I24" s="46"/>
      <c r="J24" s="37"/>
      <c r="K24" s="36"/>
      <c r="L24" s="36"/>
      <c r="M24" s="46"/>
      <c r="N24" s="37"/>
      <c r="O24" s="36"/>
      <c r="P24" s="36"/>
      <c r="Q24" s="46"/>
      <c r="R24" s="37"/>
      <c r="S24" s="36"/>
      <c r="T24" s="36"/>
      <c r="U24" s="46"/>
      <c r="V24" s="37"/>
      <c r="W24" s="36"/>
      <c r="X24" s="36"/>
      <c r="Y24" s="46"/>
      <c r="Z24" s="37"/>
      <c r="AA24" s="36"/>
      <c r="AB24" s="36"/>
      <c r="AC24" s="46"/>
      <c r="AD24" s="37"/>
      <c r="AE24" s="36"/>
      <c r="AF24" s="36"/>
      <c r="AG24" s="46"/>
      <c r="AH24" s="37"/>
      <c r="AI24" s="36"/>
      <c r="AJ24" s="36"/>
      <c r="AK24" s="46"/>
      <c r="AL24" s="37"/>
      <c r="AM24" s="36"/>
      <c r="AN24" s="36"/>
      <c r="AO24" s="46"/>
      <c r="AP24" s="37"/>
      <c r="AQ24" s="36"/>
      <c r="AR24" s="36"/>
      <c r="AS24" s="46"/>
      <c r="AT24" s="37"/>
      <c r="AU24" t="s">
        <v>83</v>
      </c>
    </row>
    <row r="25" spans="1:47" x14ac:dyDescent="0.25">
      <c r="A25" s="9" t="s">
        <v>22</v>
      </c>
      <c r="B25" s="17"/>
      <c r="C25" s="8" t="s">
        <v>31</v>
      </c>
      <c r="D25" s="8" t="s">
        <v>34</v>
      </c>
      <c r="E25" s="9" t="s">
        <v>47</v>
      </c>
      <c r="F25" s="17" t="s">
        <v>78</v>
      </c>
      <c r="G25" s="30"/>
      <c r="H25" s="30"/>
      <c r="I25" s="43"/>
      <c r="J25" s="31"/>
      <c r="K25" s="30"/>
      <c r="L25" s="30"/>
      <c r="M25" s="43"/>
      <c r="N25" s="31"/>
      <c r="O25" s="30"/>
      <c r="P25" s="30"/>
      <c r="Q25" s="43"/>
      <c r="R25" s="31"/>
      <c r="S25" s="30"/>
      <c r="T25" s="30"/>
      <c r="U25" s="43"/>
      <c r="V25" s="31"/>
      <c r="W25" s="30"/>
      <c r="X25" s="30"/>
      <c r="Y25" s="43"/>
      <c r="Z25" s="31"/>
      <c r="AA25" s="30"/>
      <c r="AB25" s="30"/>
      <c r="AC25" s="43"/>
      <c r="AD25" s="31"/>
      <c r="AE25" s="30"/>
      <c r="AF25" s="30"/>
      <c r="AG25" s="43"/>
      <c r="AH25" s="31"/>
      <c r="AI25" s="30"/>
      <c r="AJ25" s="30"/>
      <c r="AK25" s="43"/>
      <c r="AL25" s="31"/>
      <c r="AM25" s="30"/>
      <c r="AN25" s="30"/>
      <c r="AO25" s="43"/>
      <c r="AP25" s="31"/>
      <c r="AQ25" s="30"/>
      <c r="AR25" s="30"/>
      <c r="AS25" s="43"/>
      <c r="AT25" s="31"/>
      <c r="AU25" t="s">
        <v>85</v>
      </c>
    </row>
    <row r="26" spans="1:47" x14ac:dyDescent="0.25">
      <c r="A26" s="1" t="s">
        <v>22</v>
      </c>
      <c r="B26" s="18"/>
      <c r="C26" t="s">
        <v>31</v>
      </c>
      <c r="D26" t="s">
        <v>32</v>
      </c>
      <c r="E26" s="1" t="s">
        <v>46</v>
      </c>
      <c r="F26" s="18" t="s">
        <v>73</v>
      </c>
      <c r="G26" s="32"/>
      <c r="H26" s="32"/>
      <c r="I26" s="44"/>
      <c r="J26" s="33"/>
      <c r="K26" s="32"/>
      <c r="L26" s="32"/>
      <c r="M26" s="44"/>
      <c r="N26" s="33"/>
      <c r="O26" s="32"/>
      <c r="P26" s="32"/>
      <c r="Q26" s="44"/>
      <c r="R26" s="33"/>
      <c r="S26" s="32"/>
      <c r="T26" s="32"/>
      <c r="U26" s="44"/>
      <c r="V26" s="33"/>
      <c r="W26" s="32"/>
      <c r="X26" s="32"/>
      <c r="Y26" s="44"/>
      <c r="Z26" s="33"/>
      <c r="AA26" s="32"/>
      <c r="AB26" s="32"/>
      <c r="AC26" s="44"/>
      <c r="AD26" s="33"/>
      <c r="AE26" s="32"/>
      <c r="AF26" s="32"/>
      <c r="AG26" s="44"/>
      <c r="AH26" s="33"/>
      <c r="AI26" s="32"/>
      <c r="AJ26" s="32"/>
      <c r="AK26" s="44"/>
      <c r="AL26" s="33"/>
      <c r="AM26" s="32"/>
      <c r="AN26" s="32"/>
      <c r="AO26" s="44"/>
      <c r="AP26" s="33"/>
      <c r="AQ26" s="32"/>
      <c r="AR26" s="32"/>
      <c r="AS26" s="44"/>
      <c r="AT26" s="33"/>
      <c r="AU26" t="s">
        <v>89</v>
      </c>
    </row>
    <row r="27" spans="1:47" x14ac:dyDescent="0.25">
      <c r="A27" s="1" t="s">
        <v>22</v>
      </c>
      <c r="B27" s="18"/>
      <c r="C27" t="s">
        <v>31</v>
      </c>
      <c r="D27" t="s">
        <v>32</v>
      </c>
      <c r="E27" s="1" t="s">
        <v>48</v>
      </c>
      <c r="F27" s="18" t="s">
        <v>73</v>
      </c>
      <c r="G27" s="32"/>
      <c r="H27" s="32"/>
      <c r="I27" s="44"/>
      <c r="J27" s="33"/>
      <c r="K27" s="32"/>
      <c r="L27" s="32"/>
      <c r="M27" s="44"/>
      <c r="N27" s="33"/>
      <c r="O27" s="32"/>
      <c r="P27" s="32"/>
      <c r="Q27" s="44"/>
      <c r="R27" s="33"/>
      <c r="S27" s="32"/>
      <c r="T27" s="32"/>
      <c r="U27" s="44"/>
      <c r="V27" s="33"/>
      <c r="W27" s="32"/>
      <c r="X27" s="32"/>
      <c r="Y27" s="44"/>
      <c r="Z27" s="33"/>
      <c r="AA27" s="32"/>
      <c r="AB27" s="32"/>
      <c r="AC27" s="44"/>
      <c r="AD27" s="33"/>
      <c r="AE27" s="32"/>
      <c r="AF27" s="32"/>
      <c r="AG27" s="44"/>
      <c r="AH27" s="33"/>
      <c r="AI27" s="32"/>
      <c r="AJ27" s="32"/>
      <c r="AK27" s="44"/>
      <c r="AL27" s="33"/>
      <c r="AM27" s="32"/>
      <c r="AN27" s="32"/>
      <c r="AO27" s="44"/>
      <c r="AP27" s="33"/>
      <c r="AQ27" s="32"/>
      <c r="AR27" s="32"/>
      <c r="AS27" s="44"/>
      <c r="AT27" s="33"/>
      <c r="AU27" t="s">
        <v>89</v>
      </c>
    </row>
    <row r="28" spans="1:47" x14ac:dyDescent="0.25">
      <c r="A28" s="1" t="s">
        <v>22</v>
      </c>
      <c r="B28" s="18"/>
      <c r="C28" t="s">
        <v>31</v>
      </c>
      <c r="D28" t="s">
        <v>32</v>
      </c>
      <c r="E28" s="1" t="s">
        <v>49</v>
      </c>
      <c r="F28" s="18" t="s">
        <v>73</v>
      </c>
      <c r="G28" s="32"/>
      <c r="H28" s="32"/>
      <c r="I28" s="44"/>
      <c r="J28" s="33"/>
      <c r="K28" s="32"/>
      <c r="L28" s="32"/>
      <c r="M28" s="44"/>
      <c r="N28" s="33"/>
      <c r="O28" s="32"/>
      <c r="P28" s="32"/>
      <c r="Q28" s="44"/>
      <c r="R28" s="33"/>
      <c r="S28" s="32"/>
      <c r="T28" s="32"/>
      <c r="U28" s="44"/>
      <c r="V28" s="33"/>
      <c r="W28" s="32"/>
      <c r="X28" s="32"/>
      <c r="Y28" s="44"/>
      <c r="Z28" s="33"/>
      <c r="AA28" s="32"/>
      <c r="AB28" s="32"/>
      <c r="AC28" s="44"/>
      <c r="AD28" s="33"/>
      <c r="AE28" s="32"/>
      <c r="AF28" s="32"/>
      <c r="AG28" s="44"/>
      <c r="AH28" s="33"/>
      <c r="AI28" s="32"/>
      <c r="AJ28" s="32"/>
      <c r="AK28" s="44"/>
      <c r="AL28" s="33"/>
      <c r="AM28" s="32"/>
      <c r="AN28" s="32"/>
      <c r="AO28" s="44"/>
      <c r="AP28" s="33"/>
      <c r="AQ28" s="32"/>
      <c r="AR28" s="32"/>
      <c r="AS28" s="44"/>
      <c r="AT28" s="33"/>
      <c r="AU28" t="s">
        <v>89</v>
      </c>
    </row>
    <row r="29" spans="1:47" x14ac:dyDescent="0.25">
      <c r="A29" s="11" t="s">
        <v>22</v>
      </c>
      <c r="B29" s="19"/>
      <c r="C29" s="10" t="s">
        <v>31</v>
      </c>
      <c r="D29" s="10" t="s">
        <v>32</v>
      </c>
      <c r="E29" s="11" t="s">
        <v>50</v>
      </c>
      <c r="F29" s="19" t="s">
        <v>73</v>
      </c>
      <c r="G29" s="34"/>
      <c r="H29" s="34"/>
      <c r="I29" s="45"/>
      <c r="J29" s="35"/>
      <c r="K29" s="34"/>
      <c r="L29" s="34"/>
      <c r="M29" s="45"/>
      <c r="N29" s="35"/>
      <c r="O29" s="34"/>
      <c r="P29" s="34"/>
      <c r="Q29" s="45"/>
      <c r="R29" s="35"/>
      <c r="S29" s="34"/>
      <c r="T29" s="34"/>
      <c r="U29" s="45"/>
      <c r="V29" s="35"/>
      <c r="W29" s="34"/>
      <c r="X29" s="34"/>
      <c r="Y29" s="45"/>
      <c r="Z29" s="35"/>
      <c r="AA29" s="34"/>
      <c r="AB29" s="34"/>
      <c r="AC29" s="45"/>
      <c r="AD29" s="35"/>
      <c r="AE29" s="34"/>
      <c r="AF29" s="34"/>
      <c r="AG29" s="45"/>
      <c r="AH29" s="35"/>
      <c r="AI29" s="34"/>
      <c r="AJ29" s="34"/>
      <c r="AK29" s="45"/>
      <c r="AL29" s="35"/>
      <c r="AM29" s="34"/>
      <c r="AN29" s="34"/>
      <c r="AO29" s="45"/>
      <c r="AP29" s="35"/>
      <c r="AQ29" s="34"/>
      <c r="AR29" s="34"/>
      <c r="AS29" s="45"/>
      <c r="AT29" s="35"/>
      <c r="AU29" t="s">
        <v>89</v>
      </c>
    </row>
    <row r="30" spans="1:47" x14ac:dyDescent="0.25">
      <c r="A30" s="1" t="s">
        <v>22</v>
      </c>
      <c r="B30" s="18"/>
      <c r="C30" t="s">
        <v>31</v>
      </c>
      <c r="D30" t="s">
        <v>6</v>
      </c>
      <c r="E30" s="1" t="s">
        <v>52</v>
      </c>
      <c r="F30" s="18" t="s">
        <v>72</v>
      </c>
      <c r="G30" s="32"/>
      <c r="H30" s="32"/>
      <c r="I30" s="44"/>
      <c r="J30" s="33"/>
      <c r="K30" s="32"/>
      <c r="L30" s="32"/>
      <c r="M30" s="44"/>
      <c r="N30" s="33"/>
      <c r="O30" s="32"/>
      <c r="P30" s="32"/>
      <c r="Q30" s="44"/>
      <c r="R30" s="33"/>
      <c r="S30" s="32"/>
      <c r="T30" s="32"/>
      <c r="U30" s="44"/>
      <c r="V30" s="33"/>
      <c r="W30" s="32"/>
      <c r="X30" s="32"/>
      <c r="Y30" s="44"/>
      <c r="Z30" s="33"/>
      <c r="AA30" s="32"/>
      <c r="AB30" s="32"/>
      <c r="AC30" s="44"/>
      <c r="AD30" s="33"/>
      <c r="AE30" s="32"/>
      <c r="AF30" s="32"/>
      <c r="AG30" s="44"/>
      <c r="AH30" s="33"/>
      <c r="AI30" s="32"/>
      <c r="AJ30" s="32"/>
      <c r="AK30" s="44"/>
      <c r="AL30" s="33"/>
      <c r="AM30" s="32"/>
      <c r="AN30" s="32"/>
      <c r="AO30" s="44"/>
      <c r="AP30" s="33"/>
      <c r="AQ30" s="32"/>
      <c r="AR30" s="32"/>
      <c r="AS30" s="44"/>
      <c r="AT30" s="33"/>
      <c r="AU30" t="s">
        <v>89</v>
      </c>
    </row>
    <row r="31" spans="1:47" x14ac:dyDescent="0.25">
      <c r="A31" s="1" t="s">
        <v>22</v>
      </c>
      <c r="B31" s="18"/>
      <c r="C31" t="s">
        <v>31</v>
      </c>
      <c r="D31" t="s">
        <v>6</v>
      </c>
      <c r="E31" s="1" t="s">
        <v>53</v>
      </c>
      <c r="F31" s="18" t="s">
        <v>72</v>
      </c>
      <c r="G31" s="32"/>
      <c r="H31" s="32"/>
      <c r="I31" s="44"/>
      <c r="J31" s="33"/>
      <c r="K31" s="32"/>
      <c r="L31" s="32"/>
      <c r="M31" s="44"/>
      <c r="N31" s="33"/>
      <c r="O31" s="32"/>
      <c r="P31" s="32"/>
      <c r="Q31" s="44"/>
      <c r="R31" s="33"/>
      <c r="S31" s="32"/>
      <c r="T31" s="32"/>
      <c r="U31" s="44"/>
      <c r="V31" s="33"/>
      <c r="W31" s="32"/>
      <c r="X31" s="32"/>
      <c r="Y31" s="44"/>
      <c r="Z31" s="33"/>
      <c r="AA31" s="32"/>
      <c r="AB31" s="32"/>
      <c r="AC31" s="44"/>
      <c r="AD31" s="33"/>
      <c r="AE31" s="32"/>
      <c r="AF31" s="32"/>
      <c r="AG31" s="44"/>
      <c r="AH31" s="33"/>
      <c r="AI31" s="32"/>
      <c r="AJ31" s="32"/>
      <c r="AK31" s="44"/>
      <c r="AL31" s="33"/>
      <c r="AM31" s="32"/>
      <c r="AN31" s="32"/>
      <c r="AO31" s="44"/>
      <c r="AP31" s="33"/>
      <c r="AQ31" s="32"/>
      <c r="AR31" s="32"/>
      <c r="AS31" s="44"/>
      <c r="AT31" s="33"/>
      <c r="AU31" t="s">
        <v>89</v>
      </c>
    </row>
    <row r="32" spans="1:47" x14ac:dyDescent="0.25">
      <c r="A32" s="1" t="s">
        <v>22</v>
      </c>
      <c r="B32" s="18"/>
      <c r="C32" t="s">
        <v>31</v>
      </c>
      <c r="D32" t="s">
        <v>6</v>
      </c>
      <c r="E32" s="1" t="s">
        <v>36</v>
      </c>
      <c r="F32" s="18" t="s">
        <v>72</v>
      </c>
      <c r="G32" s="32"/>
      <c r="H32" s="32"/>
      <c r="I32" s="44"/>
      <c r="J32" s="33"/>
      <c r="K32" s="32"/>
      <c r="L32" s="32"/>
      <c r="M32" s="44"/>
      <c r="N32" s="33"/>
      <c r="O32" s="32"/>
      <c r="P32" s="32"/>
      <c r="Q32" s="44"/>
      <c r="R32" s="33"/>
      <c r="S32" s="32"/>
      <c r="T32" s="32"/>
      <c r="U32" s="44"/>
      <c r="V32" s="33"/>
      <c r="W32" s="32"/>
      <c r="X32" s="32"/>
      <c r="Y32" s="44"/>
      <c r="Z32" s="33"/>
      <c r="AA32" s="32"/>
      <c r="AB32" s="32"/>
      <c r="AC32" s="44"/>
      <c r="AD32" s="33"/>
      <c r="AE32" s="32"/>
      <c r="AF32" s="32"/>
      <c r="AG32" s="44"/>
      <c r="AH32" s="33"/>
      <c r="AI32" s="32"/>
      <c r="AJ32" s="32"/>
      <c r="AK32" s="44"/>
      <c r="AL32" s="33"/>
      <c r="AM32" s="32"/>
      <c r="AN32" s="32"/>
      <c r="AO32" s="44"/>
      <c r="AP32" s="33"/>
      <c r="AQ32" s="32"/>
      <c r="AR32" s="32"/>
      <c r="AS32" s="44"/>
      <c r="AT32" s="33"/>
      <c r="AU32" t="s">
        <v>89</v>
      </c>
    </row>
    <row r="33" spans="1:47" x14ac:dyDescent="0.25">
      <c r="A33" s="3" t="s">
        <v>22</v>
      </c>
      <c r="B33" s="20"/>
      <c r="C33" s="2" t="s">
        <v>31</v>
      </c>
      <c r="D33" s="2" t="s">
        <v>6</v>
      </c>
      <c r="E33" s="3" t="s">
        <v>35</v>
      </c>
      <c r="F33" s="20" t="s">
        <v>72</v>
      </c>
      <c r="G33" s="36"/>
      <c r="H33" s="36"/>
      <c r="I33" s="46"/>
      <c r="J33" s="37"/>
      <c r="K33" s="36"/>
      <c r="L33" s="36"/>
      <c r="M33" s="46"/>
      <c r="N33" s="37"/>
      <c r="O33" s="36"/>
      <c r="P33" s="36"/>
      <c r="Q33" s="46"/>
      <c r="R33" s="37"/>
      <c r="S33" s="36"/>
      <c r="T33" s="36"/>
      <c r="U33" s="46"/>
      <c r="V33" s="37"/>
      <c r="W33" s="36"/>
      <c r="X33" s="36"/>
      <c r="Y33" s="46"/>
      <c r="Z33" s="37"/>
      <c r="AA33" s="36"/>
      <c r="AB33" s="36"/>
      <c r="AC33" s="46"/>
      <c r="AD33" s="37"/>
      <c r="AE33" s="36"/>
      <c r="AF33" s="36"/>
      <c r="AG33" s="46"/>
      <c r="AH33" s="37"/>
      <c r="AI33" s="36"/>
      <c r="AJ33" s="36"/>
      <c r="AK33" s="46"/>
      <c r="AL33" s="37"/>
      <c r="AM33" s="36"/>
      <c r="AN33" s="36"/>
      <c r="AO33" s="46"/>
      <c r="AP33" s="37"/>
      <c r="AQ33" s="36"/>
      <c r="AR33" s="36"/>
      <c r="AS33" s="46"/>
      <c r="AT33" s="37"/>
      <c r="AU33" t="s">
        <v>89</v>
      </c>
    </row>
    <row r="34" spans="1:47" x14ac:dyDescent="0.25">
      <c r="A34" s="9" t="s">
        <v>23</v>
      </c>
      <c r="B34" s="17" t="s">
        <v>30</v>
      </c>
      <c r="C34" s="8" t="s">
        <v>18</v>
      </c>
      <c r="D34" s="8" t="s">
        <v>34</v>
      </c>
      <c r="E34" s="9" t="s">
        <v>25</v>
      </c>
      <c r="F34" s="17" t="s">
        <v>74</v>
      </c>
      <c r="G34" s="30"/>
      <c r="H34" s="30"/>
      <c r="I34" s="43"/>
      <c r="J34" s="31"/>
      <c r="K34" s="30"/>
      <c r="L34" s="30"/>
      <c r="M34" s="43"/>
      <c r="N34" s="31"/>
      <c r="O34" s="30"/>
      <c r="P34" s="30"/>
      <c r="Q34" s="43"/>
      <c r="R34" s="31"/>
      <c r="S34" s="30"/>
      <c r="T34" s="30"/>
      <c r="U34" s="43"/>
      <c r="V34" s="31"/>
      <c r="W34" s="30"/>
      <c r="X34" s="30"/>
      <c r="Y34" s="43"/>
      <c r="Z34" s="31"/>
      <c r="AA34" s="30"/>
      <c r="AB34" s="30"/>
      <c r="AC34" s="43"/>
      <c r="AD34" s="31"/>
      <c r="AE34" s="30"/>
      <c r="AF34" s="30"/>
      <c r="AG34" s="43"/>
      <c r="AH34" s="31"/>
      <c r="AI34" s="30"/>
      <c r="AJ34" s="30"/>
      <c r="AK34" s="43"/>
      <c r="AL34" s="31"/>
      <c r="AM34" s="30"/>
      <c r="AN34" s="30"/>
      <c r="AO34" s="43"/>
      <c r="AP34" s="31"/>
      <c r="AQ34" s="30"/>
      <c r="AR34" s="30"/>
      <c r="AS34" s="43"/>
      <c r="AT34" s="31"/>
      <c r="AU34" t="s">
        <v>84</v>
      </c>
    </row>
    <row r="35" spans="1:47" x14ac:dyDescent="0.25">
      <c r="A35" s="13" t="s">
        <v>24</v>
      </c>
      <c r="B35" s="24" t="s">
        <v>30</v>
      </c>
      <c r="C35" s="12" t="s">
        <v>51</v>
      </c>
      <c r="D35" s="12" t="s">
        <v>34</v>
      </c>
      <c r="E35" s="13" t="s">
        <v>25</v>
      </c>
      <c r="F35" s="24" t="s">
        <v>63</v>
      </c>
      <c r="G35" s="38"/>
      <c r="H35" s="38"/>
      <c r="I35" s="47"/>
      <c r="J35" s="39"/>
      <c r="K35" s="38"/>
      <c r="L35" s="38"/>
      <c r="M35" s="47"/>
      <c r="N35" s="39"/>
      <c r="O35" s="38"/>
      <c r="P35" s="38"/>
      <c r="Q35" s="47"/>
      <c r="R35" s="39"/>
      <c r="S35" s="38"/>
      <c r="T35" s="38"/>
      <c r="U35" s="47"/>
      <c r="V35" s="39"/>
      <c r="W35" s="38"/>
      <c r="X35" s="38"/>
      <c r="Y35" s="47"/>
      <c r="Z35" s="39"/>
      <c r="AA35" s="38"/>
      <c r="AB35" s="38"/>
      <c r="AC35" s="47"/>
      <c r="AD35" s="39"/>
      <c r="AE35" s="38"/>
      <c r="AF35" s="38"/>
      <c r="AG35" s="47"/>
      <c r="AH35" s="39"/>
      <c r="AI35" s="38"/>
      <c r="AJ35" s="38"/>
      <c r="AK35" s="47"/>
      <c r="AL35" s="39"/>
      <c r="AM35" s="38"/>
      <c r="AN35" s="38"/>
      <c r="AO35" s="47"/>
      <c r="AP35" s="39"/>
      <c r="AQ35" s="38"/>
      <c r="AR35" s="38"/>
      <c r="AS35" s="47"/>
      <c r="AT35" s="39"/>
      <c r="AU35" t="s">
        <v>84</v>
      </c>
    </row>
    <row r="36" spans="1:47" x14ac:dyDescent="0.25">
      <c r="A36" s="1" t="s">
        <v>24</v>
      </c>
      <c r="B36" s="18" t="s">
        <v>30</v>
      </c>
      <c r="C36" t="s">
        <v>65</v>
      </c>
      <c r="D36" t="s">
        <v>34</v>
      </c>
      <c r="E36" s="1" t="s">
        <v>25</v>
      </c>
      <c r="F36" s="18" t="s">
        <v>67</v>
      </c>
      <c r="G36" s="32"/>
      <c r="H36" s="32"/>
      <c r="I36" s="44"/>
      <c r="J36" s="33"/>
      <c r="K36" s="32"/>
      <c r="L36" s="32"/>
      <c r="M36" s="44"/>
      <c r="N36" s="33"/>
      <c r="O36" s="32"/>
      <c r="P36" s="32"/>
      <c r="Q36" s="44"/>
      <c r="R36" s="33"/>
      <c r="S36" s="32"/>
      <c r="T36" s="32"/>
      <c r="U36" s="44"/>
      <c r="V36" s="33"/>
      <c r="W36" s="32"/>
      <c r="X36" s="32"/>
      <c r="Y36" s="44"/>
      <c r="Z36" s="33"/>
      <c r="AA36" s="32"/>
      <c r="AB36" s="32"/>
      <c r="AC36" s="44"/>
      <c r="AD36" s="33"/>
      <c r="AE36" s="32"/>
      <c r="AF36" s="32"/>
      <c r="AG36" s="44"/>
      <c r="AH36" s="33"/>
      <c r="AI36" s="32"/>
      <c r="AJ36" s="32"/>
      <c r="AK36" s="44"/>
      <c r="AL36" s="33"/>
      <c r="AM36" s="32"/>
      <c r="AN36" s="32"/>
      <c r="AO36" s="44"/>
      <c r="AP36" s="33"/>
      <c r="AQ36" s="32"/>
      <c r="AR36" s="32"/>
      <c r="AS36" s="44"/>
      <c r="AT36" s="33"/>
      <c r="AU36" t="s">
        <v>84</v>
      </c>
    </row>
    <row r="37" spans="1:47" x14ac:dyDescent="0.25">
      <c r="A37" s="1" t="s">
        <v>24</v>
      </c>
      <c r="B37" s="18" t="s">
        <v>30</v>
      </c>
      <c r="C37" t="s">
        <v>65</v>
      </c>
      <c r="D37" t="s">
        <v>34</v>
      </c>
      <c r="E37" s="1" t="s">
        <v>25</v>
      </c>
      <c r="F37" s="18" t="s">
        <v>64</v>
      </c>
      <c r="G37" s="32"/>
      <c r="H37" s="32"/>
      <c r="I37" s="44"/>
      <c r="J37" s="33"/>
      <c r="K37" s="32"/>
      <c r="L37" s="32"/>
      <c r="M37" s="44"/>
      <c r="N37" s="33"/>
      <c r="O37" s="32"/>
      <c r="P37" s="32"/>
      <c r="Q37" s="44"/>
      <c r="R37" s="33"/>
      <c r="S37" s="32"/>
      <c r="T37" s="32"/>
      <c r="U37" s="44"/>
      <c r="V37" s="33"/>
      <c r="W37" s="32"/>
      <c r="X37" s="32"/>
      <c r="Y37" s="44"/>
      <c r="Z37" s="33"/>
      <c r="AA37" s="32"/>
      <c r="AB37" s="32"/>
      <c r="AC37" s="44"/>
      <c r="AD37" s="33"/>
      <c r="AE37" s="32"/>
      <c r="AF37" s="32"/>
      <c r="AG37" s="44"/>
      <c r="AH37" s="33"/>
      <c r="AI37" s="32"/>
      <c r="AJ37" s="32"/>
      <c r="AK37" s="44"/>
      <c r="AL37" s="33"/>
      <c r="AM37" s="32"/>
      <c r="AN37" s="32"/>
      <c r="AO37" s="44"/>
      <c r="AP37" s="33"/>
      <c r="AQ37" s="32"/>
      <c r="AR37" s="32"/>
      <c r="AS37" s="44"/>
      <c r="AT37" s="33"/>
      <c r="AU37" t="s">
        <v>86</v>
      </c>
    </row>
    <row r="38" spans="1:47" x14ac:dyDescent="0.25">
      <c r="A38" s="11" t="s">
        <v>24</v>
      </c>
      <c r="B38" s="19" t="s">
        <v>30</v>
      </c>
      <c r="C38" s="10" t="s">
        <v>65</v>
      </c>
      <c r="D38" s="10" t="s">
        <v>34</v>
      </c>
      <c r="E38" s="11" t="s">
        <v>25</v>
      </c>
      <c r="F38" s="19" t="s">
        <v>66</v>
      </c>
      <c r="G38" s="34"/>
      <c r="H38" s="34"/>
      <c r="I38" s="45"/>
      <c r="J38" s="35"/>
      <c r="K38" s="34"/>
      <c r="L38" s="34"/>
      <c r="M38" s="45"/>
      <c r="N38" s="35"/>
      <c r="O38" s="34"/>
      <c r="P38" s="34"/>
      <c r="Q38" s="45"/>
      <c r="R38" s="35"/>
      <c r="S38" s="34"/>
      <c r="T38" s="34"/>
      <c r="U38" s="45"/>
      <c r="V38" s="35"/>
      <c r="W38" s="34"/>
      <c r="X38" s="34"/>
      <c r="Y38" s="45"/>
      <c r="Z38" s="35"/>
      <c r="AA38" s="34"/>
      <c r="AB38" s="34"/>
      <c r="AC38" s="45"/>
      <c r="AD38" s="35"/>
      <c r="AE38" s="34"/>
      <c r="AF38" s="34"/>
      <c r="AG38" s="45"/>
      <c r="AH38" s="35"/>
      <c r="AI38" s="34"/>
      <c r="AJ38" s="34"/>
      <c r="AK38" s="45"/>
      <c r="AL38" s="35"/>
      <c r="AM38" s="34"/>
      <c r="AN38" s="34"/>
      <c r="AO38" s="45"/>
      <c r="AP38" s="35"/>
      <c r="AQ38" s="34"/>
      <c r="AR38" s="34"/>
      <c r="AS38" s="45"/>
      <c r="AT38" s="35"/>
      <c r="AU38" t="s">
        <v>84</v>
      </c>
    </row>
    <row r="39" spans="1:47" x14ac:dyDescent="0.25">
      <c r="A39" s="21" t="s">
        <v>24</v>
      </c>
      <c r="B39" s="22" t="s">
        <v>30</v>
      </c>
      <c r="C39" s="23" t="s">
        <v>31</v>
      </c>
      <c r="D39" s="23" t="s">
        <v>34</v>
      </c>
      <c r="E39" s="21" t="s">
        <v>47</v>
      </c>
      <c r="F39" s="22" t="s">
        <v>79</v>
      </c>
      <c r="G39" s="40"/>
      <c r="H39" s="40"/>
      <c r="I39" s="48"/>
      <c r="J39" s="41"/>
      <c r="K39" s="40"/>
      <c r="L39" s="40"/>
      <c r="M39" s="48"/>
      <c r="N39" s="41"/>
      <c r="O39" s="40"/>
      <c r="P39" s="40"/>
      <c r="Q39" s="48"/>
      <c r="R39" s="41"/>
      <c r="S39" s="40"/>
      <c r="T39" s="40"/>
      <c r="U39" s="48"/>
      <c r="V39" s="41"/>
      <c r="W39" s="40"/>
      <c r="X39" s="40"/>
      <c r="Y39" s="48"/>
      <c r="Z39" s="41"/>
      <c r="AA39" s="40"/>
      <c r="AB39" s="40"/>
      <c r="AC39" s="48"/>
      <c r="AD39" s="41"/>
      <c r="AE39" s="40"/>
      <c r="AF39" s="40"/>
      <c r="AG39" s="48"/>
      <c r="AH39" s="41"/>
      <c r="AI39" s="40"/>
      <c r="AJ39" s="40"/>
      <c r="AK39" s="48"/>
      <c r="AL39" s="41"/>
      <c r="AM39" s="40"/>
      <c r="AN39" s="40"/>
      <c r="AO39" s="48"/>
      <c r="AP39" s="41"/>
      <c r="AQ39" s="40"/>
      <c r="AR39" s="40"/>
      <c r="AS39" s="48"/>
      <c r="AT39" s="41"/>
      <c r="AU39" t="s">
        <v>85</v>
      </c>
    </row>
    <row r="40" spans="1:47" x14ac:dyDescent="0.25">
      <c r="A40" s="1" t="s">
        <v>24</v>
      </c>
      <c r="B40" s="18" t="s">
        <v>30</v>
      </c>
      <c r="C40" t="s">
        <v>31</v>
      </c>
      <c r="D40" s="14" t="s">
        <v>54</v>
      </c>
      <c r="E40" s="1" t="s">
        <v>55</v>
      </c>
      <c r="F40" s="18" t="s">
        <v>69</v>
      </c>
      <c r="G40" s="32"/>
      <c r="H40" s="32"/>
      <c r="I40" s="44"/>
      <c r="J40" s="33"/>
      <c r="K40" s="32"/>
      <c r="L40" s="32"/>
      <c r="M40" s="44"/>
      <c r="N40" s="33"/>
      <c r="O40" s="32"/>
      <c r="P40" s="32"/>
      <c r="Q40" s="44"/>
      <c r="R40" s="33"/>
      <c r="S40" s="32"/>
      <c r="T40" s="32"/>
      <c r="U40" s="44"/>
      <c r="V40" s="33"/>
      <c r="W40" s="32"/>
      <c r="X40" s="32"/>
      <c r="Y40" s="44"/>
      <c r="Z40" s="33"/>
      <c r="AA40" s="32"/>
      <c r="AB40" s="32"/>
      <c r="AC40" s="44"/>
      <c r="AD40" s="33"/>
      <c r="AE40" s="32"/>
      <c r="AF40" s="32"/>
      <c r="AG40" s="44"/>
      <c r="AH40" s="33"/>
      <c r="AI40" s="32"/>
      <c r="AJ40" s="32"/>
      <c r="AK40" s="44"/>
      <c r="AL40" s="33"/>
      <c r="AM40" s="32"/>
      <c r="AN40" s="32"/>
      <c r="AO40" s="44"/>
      <c r="AP40" s="33"/>
      <c r="AQ40" s="32"/>
      <c r="AR40" s="32"/>
      <c r="AS40" s="44"/>
      <c r="AT40" s="33"/>
      <c r="AU40" t="s">
        <v>87</v>
      </c>
    </row>
    <row r="41" spans="1:47" x14ac:dyDescent="0.25">
      <c r="A41" s="1" t="s">
        <v>24</v>
      </c>
      <c r="B41" s="18" t="s">
        <v>30</v>
      </c>
      <c r="C41" t="s">
        <v>31</v>
      </c>
      <c r="D41" t="s">
        <v>54</v>
      </c>
      <c r="E41" s="1" t="s">
        <v>80</v>
      </c>
      <c r="F41" s="18" t="s">
        <v>69</v>
      </c>
      <c r="G41" s="32"/>
      <c r="H41" s="32"/>
      <c r="I41" s="44"/>
      <c r="J41" s="33"/>
      <c r="K41" s="32"/>
      <c r="L41" s="32"/>
      <c r="M41" s="44"/>
      <c r="N41" s="33"/>
      <c r="O41" s="32"/>
      <c r="P41" s="32"/>
      <c r="Q41" s="44"/>
      <c r="R41" s="33"/>
      <c r="S41" s="32"/>
      <c r="T41" s="32"/>
      <c r="U41" s="44"/>
      <c r="V41" s="33"/>
      <c r="W41" s="32"/>
      <c r="X41" s="32"/>
      <c r="Y41" s="44"/>
      <c r="Z41" s="33"/>
      <c r="AA41" s="32"/>
      <c r="AB41" s="32"/>
      <c r="AC41" s="44"/>
      <c r="AD41" s="33"/>
      <c r="AE41" s="32"/>
      <c r="AF41" s="32"/>
      <c r="AG41" s="44"/>
      <c r="AH41" s="33"/>
      <c r="AI41" s="32"/>
      <c r="AJ41" s="32"/>
      <c r="AK41" s="44"/>
      <c r="AL41" s="33"/>
      <c r="AM41" s="32"/>
      <c r="AN41" s="32"/>
      <c r="AO41" s="44"/>
      <c r="AP41" s="33"/>
      <c r="AQ41" s="32"/>
      <c r="AR41" s="32"/>
      <c r="AS41" s="44"/>
      <c r="AT41" s="33"/>
      <c r="AU41" t="s">
        <v>87</v>
      </c>
    </row>
    <row r="42" spans="1:47" x14ac:dyDescent="0.25">
      <c r="A42" s="1" t="s">
        <v>24</v>
      </c>
      <c r="B42" s="18" t="s">
        <v>30</v>
      </c>
      <c r="C42" t="s">
        <v>31</v>
      </c>
      <c r="D42" t="s">
        <v>54</v>
      </c>
      <c r="E42" s="1" t="s">
        <v>56</v>
      </c>
      <c r="F42" s="18" t="s">
        <v>69</v>
      </c>
      <c r="G42" s="32"/>
      <c r="H42" s="32"/>
      <c r="I42" s="44"/>
      <c r="J42" s="33"/>
      <c r="K42" s="32"/>
      <c r="L42" s="32"/>
      <c r="M42" s="44"/>
      <c r="N42" s="33"/>
      <c r="O42" s="32"/>
      <c r="P42" s="32"/>
      <c r="Q42" s="44"/>
      <c r="R42" s="33"/>
      <c r="S42" s="32"/>
      <c r="T42" s="32"/>
      <c r="U42" s="44"/>
      <c r="V42" s="33"/>
      <c r="W42" s="32"/>
      <c r="X42" s="32"/>
      <c r="Y42" s="44"/>
      <c r="Z42" s="33"/>
      <c r="AA42" s="32"/>
      <c r="AB42" s="32"/>
      <c r="AC42" s="44"/>
      <c r="AD42" s="33"/>
      <c r="AE42" s="32"/>
      <c r="AF42" s="32"/>
      <c r="AG42" s="44"/>
      <c r="AH42" s="33"/>
      <c r="AI42" s="32"/>
      <c r="AJ42" s="32"/>
      <c r="AK42" s="44"/>
      <c r="AL42" s="33"/>
      <c r="AM42" s="32"/>
      <c r="AN42" s="32"/>
      <c r="AO42" s="44"/>
      <c r="AP42" s="33"/>
      <c r="AQ42" s="32"/>
      <c r="AR42" s="32"/>
      <c r="AS42" s="44"/>
      <c r="AT42" s="33"/>
      <c r="AU42" t="s">
        <v>87</v>
      </c>
    </row>
    <row r="43" spans="1:47" x14ac:dyDescent="0.25">
      <c r="A43" s="1" t="s">
        <v>24</v>
      </c>
      <c r="B43" s="18" t="s">
        <v>30</v>
      </c>
      <c r="C43" t="s">
        <v>31</v>
      </c>
      <c r="D43" t="s">
        <v>54</v>
      </c>
      <c r="E43" s="1" t="s">
        <v>57</v>
      </c>
      <c r="F43" s="18" t="s">
        <v>69</v>
      </c>
      <c r="G43" s="32"/>
      <c r="H43" s="32"/>
      <c r="I43" s="44"/>
      <c r="J43" s="33"/>
      <c r="K43" s="32"/>
      <c r="L43" s="32"/>
      <c r="M43" s="44"/>
      <c r="N43" s="33"/>
      <c r="O43" s="32"/>
      <c r="P43" s="32"/>
      <c r="Q43" s="44"/>
      <c r="R43" s="33"/>
      <c r="S43" s="32"/>
      <c r="T43" s="32"/>
      <c r="U43" s="44"/>
      <c r="V43" s="33"/>
      <c r="W43" s="32"/>
      <c r="X43" s="32"/>
      <c r="Y43" s="44"/>
      <c r="Z43" s="33"/>
      <c r="AA43" s="32"/>
      <c r="AB43" s="32"/>
      <c r="AC43" s="44"/>
      <c r="AD43" s="33"/>
      <c r="AE43" s="32"/>
      <c r="AF43" s="32"/>
      <c r="AG43" s="44"/>
      <c r="AH43" s="33"/>
      <c r="AI43" s="32"/>
      <c r="AJ43" s="32"/>
      <c r="AK43" s="44"/>
      <c r="AL43" s="33"/>
      <c r="AM43" s="32"/>
      <c r="AN43" s="32"/>
      <c r="AO43" s="44"/>
      <c r="AP43" s="33"/>
      <c r="AQ43" s="32"/>
      <c r="AR43" s="32"/>
      <c r="AS43" s="44"/>
      <c r="AT43" s="33"/>
      <c r="AU43" t="s">
        <v>87</v>
      </c>
    </row>
    <row r="44" spans="1:47" x14ac:dyDescent="0.25">
      <c r="A44" s="1" t="s">
        <v>24</v>
      </c>
      <c r="B44" s="18" t="s">
        <v>30</v>
      </c>
      <c r="C44" t="s">
        <v>31</v>
      </c>
      <c r="D44" t="s">
        <v>54</v>
      </c>
      <c r="E44" s="1" t="s">
        <v>58</v>
      </c>
      <c r="F44" s="18" t="s">
        <v>69</v>
      </c>
      <c r="G44" s="32"/>
      <c r="H44" s="32"/>
      <c r="I44" s="44"/>
      <c r="J44" s="33"/>
      <c r="K44" s="32"/>
      <c r="L44" s="32"/>
      <c r="M44" s="44"/>
      <c r="N44" s="33"/>
      <c r="O44" s="32"/>
      <c r="P44" s="32"/>
      <c r="Q44" s="44"/>
      <c r="R44" s="33"/>
      <c r="S44" s="32"/>
      <c r="T44" s="32"/>
      <c r="U44" s="44"/>
      <c r="V44" s="33"/>
      <c r="W44" s="32"/>
      <c r="X44" s="32"/>
      <c r="Y44" s="44"/>
      <c r="Z44" s="33"/>
      <c r="AA44" s="32"/>
      <c r="AB44" s="32"/>
      <c r="AC44" s="44"/>
      <c r="AD44" s="33"/>
      <c r="AE44" s="32"/>
      <c r="AF44" s="32"/>
      <c r="AG44" s="44"/>
      <c r="AH44" s="33"/>
      <c r="AI44" s="32"/>
      <c r="AJ44" s="32"/>
      <c r="AK44" s="44"/>
      <c r="AL44" s="33"/>
      <c r="AM44" s="32"/>
      <c r="AN44" s="32"/>
      <c r="AO44" s="44"/>
      <c r="AP44" s="33"/>
      <c r="AQ44" s="32"/>
      <c r="AR44" s="32"/>
      <c r="AS44" s="44"/>
      <c r="AT44" s="33"/>
      <c r="AU44" t="s">
        <v>87</v>
      </c>
    </row>
    <row r="45" spans="1:47" x14ac:dyDescent="0.25">
      <c r="A45" s="1" t="s">
        <v>24</v>
      </c>
      <c r="B45" s="18" t="s">
        <v>30</v>
      </c>
      <c r="C45" t="s">
        <v>31</v>
      </c>
      <c r="D45" t="s">
        <v>54</v>
      </c>
      <c r="E45" s="1" t="s">
        <v>59</v>
      </c>
      <c r="F45" s="18" t="s">
        <v>69</v>
      </c>
      <c r="G45" s="32"/>
      <c r="H45" s="32"/>
      <c r="I45" s="44"/>
      <c r="J45" s="33"/>
      <c r="K45" s="32"/>
      <c r="L45" s="32"/>
      <c r="M45" s="44"/>
      <c r="N45" s="33"/>
      <c r="O45" s="32"/>
      <c r="P45" s="32"/>
      <c r="Q45" s="44"/>
      <c r="R45" s="33"/>
      <c r="S45" s="32"/>
      <c r="T45" s="32"/>
      <c r="U45" s="44"/>
      <c r="V45" s="33"/>
      <c r="W45" s="32"/>
      <c r="X45" s="32"/>
      <c r="Y45" s="44"/>
      <c r="Z45" s="33"/>
      <c r="AA45" s="32"/>
      <c r="AB45" s="32"/>
      <c r="AC45" s="44"/>
      <c r="AD45" s="33"/>
      <c r="AE45" s="32"/>
      <c r="AF45" s="32"/>
      <c r="AG45" s="44"/>
      <c r="AH45" s="33"/>
      <c r="AI45" s="32"/>
      <c r="AJ45" s="32"/>
      <c r="AK45" s="44"/>
      <c r="AL45" s="33"/>
      <c r="AM45" s="32"/>
      <c r="AN45" s="32"/>
      <c r="AO45" s="44"/>
      <c r="AP45" s="33"/>
      <c r="AQ45" s="32"/>
      <c r="AR45" s="32"/>
      <c r="AS45" s="44"/>
      <c r="AT45" s="33"/>
      <c r="AU45" t="s">
        <v>87</v>
      </c>
    </row>
    <row r="46" spans="1:47" x14ac:dyDescent="0.25">
      <c r="A46" s="3" t="s">
        <v>24</v>
      </c>
      <c r="B46" s="20" t="s">
        <v>30</v>
      </c>
      <c r="C46" s="2" t="s">
        <v>31</v>
      </c>
      <c r="D46" s="2" t="s">
        <v>54</v>
      </c>
      <c r="E46" s="3" t="s">
        <v>55</v>
      </c>
      <c r="F46" s="20" t="s">
        <v>69</v>
      </c>
      <c r="G46" s="36"/>
      <c r="H46" s="36"/>
      <c r="I46" s="46"/>
      <c r="J46" s="37"/>
      <c r="K46" s="36"/>
      <c r="L46" s="36"/>
      <c r="M46" s="46"/>
      <c r="N46" s="37"/>
      <c r="O46" s="36"/>
      <c r="P46" s="36"/>
      <c r="Q46" s="46"/>
      <c r="R46" s="37"/>
      <c r="S46" s="36"/>
      <c r="T46" s="36"/>
      <c r="U46" s="46"/>
      <c r="V46" s="37"/>
      <c r="W46" s="36"/>
      <c r="X46" s="36"/>
      <c r="Y46" s="46"/>
      <c r="Z46" s="37"/>
      <c r="AA46" s="36"/>
      <c r="AB46" s="36"/>
      <c r="AC46" s="46"/>
      <c r="AD46" s="37"/>
      <c r="AE46" s="36"/>
      <c r="AF46" s="36"/>
      <c r="AG46" s="46"/>
      <c r="AH46" s="37"/>
      <c r="AI46" s="36"/>
      <c r="AJ46" s="36"/>
      <c r="AK46" s="46"/>
      <c r="AL46" s="37"/>
      <c r="AM46" s="36"/>
      <c r="AN46" s="36"/>
      <c r="AO46" s="46"/>
      <c r="AP46" s="37"/>
      <c r="AQ46" s="36"/>
      <c r="AR46" s="36"/>
      <c r="AS46" s="46"/>
      <c r="AT46" s="37"/>
      <c r="AU46" t="s">
        <v>87</v>
      </c>
    </row>
    <row r="48" spans="1:47" x14ac:dyDescent="0.25">
      <c r="F48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F1CA-3DC2-4B57-9206-069B81BBE1C6}">
  <dimension ref="A1:K77"/>
  <sheetViews>
    <sheetView workbookViewId="0">
      <selection activeCell="K26" sqref="K26"/>
    </sheetView>
  </sheetViews>
  <sheetFormatPr defaultRowHeight="15" x14ac:dyDescent="0.25"/>
  <cols>
    <col min="3" max="3" width="12" customWidth="1"/>
    <col min="4" max="4" width="11.140625" bestFit="1" customWidth="1"/>
    <col min="6" max="6" width="16.140625" bestFit="1" customWidth="1"/>
    <col min="7" max="7" width="22" bestFit="1" customWidth="1"/>
  </cols>
  <sheetData>
    <row r="1" spans="1:11" x14ac:dyDescent="0.25">
      <c r="G1" s="14" t="s">
        <v>98</v>
      </c>
    </row>
    <row r="2" spans="1:11" x14ac:dyDescent="0.25">
      <c r="A2" t="s">
        <v>97</v>
      </c>
      <c r="B2" t="s">
        <v>92</v>
      </c>
      <c r="C2" t="s">
        <v>91</v>
      </c>
      <c r="D2" t="s">
        <v>90</v>
      </c>
      <c r="E2" t="s">
        <v>96</v>
      </c>
      <c r="F2" t="s">
        <v>94</v>
      </c>
      <c r="G2" t="s">
        <v>93</v>
      </c>
      <c r="I2" t="s">
        <v>99</v>
      </c>
      <c r="J2" t="s">
        <v>100</v>
      </c>
      <c r="K2" t="s">
        <v>101</v>
      </c>
    </row>
    <row r="3" spans="1:11" x14ac:dyDescent="0.25">
      <c r="A3">
        <v>0</v>
      </c>
      <c r="B3">
        <v>1</v>
      </c>
      <c r="C3" s="52">
        <v>46076</v>
      </c>
      <c r="D3" t="s">
        <v>95</v>
      </c>
      <c r="E3">
        <v>96</v>
      </c>
      <c r="F3" s="53">
        <f>E3</f>
        <v>96</v>
      </c>
      <c r="G3" s="53">
        <f>($I$3*($A3^2))+($J$3*$A3)+$K$3</f>
        <v>96</v>
      </c>
      <c r="I3">
        <v>0</v>
      </c>
      <c r="J3">
        <f>-0.75/7</f>
        <v>-0.10714285714285714</v>
      </c>
      <c r="K3">
        <v>96</v>
      </c>
    </row>
    <row r="4" spans="1:11" x14ac:dyDescent="0.25">
      <c r="A4">
        <f>A3+1</f>
        <v>1</v>
      </c>
      <c r="B4">
        <v>1</v>
      </c>
      <c r="C4" s="52">
        <f>C3+1</f>
        <v>46077</v>
      </c>
      <c r="F4" s="53">
        <f>F3-0.75/7</f>
        <v>95.892857142857139</v>
      </c>
      <c r="G4" s="53">
        <f t="shared" ref="G4:G67" si="0">($I$3*($A4^2))+($J$3*$A4)+$K$3</f>
        <v>95.892857142857139</v>
      </c>
    </row>
    <row r="5" spans="1:11" x14ac:dyDescent="0.25">
      <c r="A5">
        <f t="shared" ref="A5:A68" si="1">A4+1</f>
        <v>2</v>
      </c>
      <c r="B5">
        <v>1</v>
      </c>
      <c r="C5" s="52">
        <f t="shared" ref="C5:C33" si="2">C4+1</f>
        <v>46078</v>
      </c>
      <c r="F5" s="53">
        <f t="shared" ref="F5:F68" si="3">F4-0.75/7</f>
        <v>95.785714285714278</v>
      </c>
      <c r="G5" s="53">
        <f t="shared" si="0"/>
        <v>95.785714285714292</v>
      </c>
    </row>
    <row r="6" spans="1:11" x14ac:dyDescent="0.25">
      <c r="A6">
        <f t="shared" si="1"/>
        <v>3</v>
      </c>
      <c r="B6">
        <v>1</v>
      </c>
      <c r="C6" s="52">
        <f t="shared" si="2"/>
        <v>46079</v>
      </c>
      <c r="F6" s="53">
        <f t="shared" si="3"/>
        <v>95.678571428571416</v>
      </c>
      <c r="G6" s="53">
        <f t="shared" si="0"/>
        <v>95.678571428571431</v>
      </c>
    </row>
    <row r="7" spans="1:11" x14ac:dyDescent="0.25">
      <c r="A7">
        <f t="shared" si="1"/>
        <v>4</v>
      </c>
      <c r="B7">
        <v>1</v>
      </c>
      <c r="C7" s="52">
        <f t="shared" si="2"/>
        <v>46080</v>
      </c>
      <c r="F7" s="53">
        <f t="shared" si="3"/>
        <v>95.571428571428555</v>
      </c>
      <c r="G7" s="53">
        <f t="shared" si="0"/>
        <v>95.571428571428569</v>
      </c>
    </row>
    <row r="8" spans="1:11" x14ac:dyDescent="0.25">
      <c r="A8">
        <f t="shared" si="1"/>
        <v>5</v>
      </c>
      <c r="B8">
        <v>1</v>
      </c>
      <c r="C8" s="52">
        <f t="shared" si="2"/>
        <v>46081</v>
      </c>
      <c r="F8" s="53">
        <f t="shared" si="3"/>
        <v>95.464285714285694</v>
      </c>
      <c r="G8" s="53">
        <f t="shared" si="0"/>
        <v>95.464285714285708</v>
      </c>
    </row>
    <row r="9" spans="1:11" x14ac:dyDescent="0.25">
      <c r="A9">
        <f t="shared" si="1"/>
        <v>6</v>
      </c>
      <c r="B9">
        <v>1</v>
      </c>
      <c r="C9" s="52">
        <f t="shared" si="2"/>
        <v>46082</v>
      </c>
      <c r="F9" s="53">
        <f t="shared" si="3"/>
        <v>95.357142857142833</v>
      </c>
      <c r="G9" s="53">
        <f t="shared" si="0"/>
        <v>95.357142857142861</v>
      </c>
    </row>
    <row r="10" spans="1:11" x14ac:dyDescent="0.25">
      <c r="A10">
        <f t="shared" si="1"/>
        <v>7</v>
      </c>
      <c r="B10">
        <f>B3+1</f>
        <v>2</v>
      </c>
      <c r="C10" s="52">
        <f t="shared" si="2"/>
        <v>46083</v>
      </c>
      <c r="F10" s="53">
        <f t="shared" si="3"/>
        <v>95.249999999999972</v>
      </c>
      <c r="G10" s="53">
        <f t="shared" si="0"/>
        <v>95.25</v>
      </c>
    </row>
    <row r="11" spans="1:11" x14ac:dyDescent="0.25">
      <c r="A11">
        <f t="shared" si="1"/>
        <v>8</v>
      </c>
      <c r="B11">
        <f t="shared" ref="B11:B72" si="4">B4+1</f>
        <v>2</v>
      </c>
      <c r="C11" s="52">
        <f t="shared" si="2"/>
        <v>46084</v>
      </c>
      <c r="F11" s="53">
        <f t="shared" si="3"/>
        <v>95.14285714285711</v>
      </c>
      <c r="G11" s="53">
        <f t="shared" si="0"/>
        <v>95.142857142857139</v>
      </c>
    </row>
    <row r="12" spans="1:11" x14ac:dyDescent="0.25">
      <c r="A12">
        <f t="shared" si="1"/>
        <v>9</v>
      </c>
      <c r="B12">
        <f t="shared" si="4"/>
        <v>2</v>
      </c>
      <c r="C12" s="52">
        <f t="shared" si="2"/>
        <v>46085</v>
      </c>
      <c r="F12" s="53">
        <f t="shared" si="3"/>
        <v>95.035714285714249</v>
      </c>
      <c r="G12" s="53">
        <f t="shared" si="0"/>
        <v>95.035714285714292</v>
      </c>
    </row>
    <row r="13" spans="1:11" x14ac:dyDescent="0.25">
      <c r="A13">
        <f t="shared" si="1"/>
        <v>10</v>
      </c>
      <c r="B13">
        <f t="shared" si="4"/>
        <v>2</v>
      </c>
      <c r="C13" s="52">
        <f t="shared" si="2"/>
        <v>46086</v>
      </c>
      <c r="F13" s="53">
        <f t="shared" si="3"/>
        <v>94.928571428571388</v>
      </c>
      <c r="G13" s="53">
        <f t="shared" si="0"/>
        <v>94.928571428571431</v>
      </c>
    </row>
    <row r="14" spans="1:11" x14ac:dyDescent="0.25">
      <c r="A14">
        <f t="shared" si="1"/>
        <v>11</v>
      </c>
      <c r="B14">
        <f t="shared" si="4"/>
        <v>2</v>
      </c>
      <c r="C14" s="52">
        <f t="shared" si="2"/>
        <v>46087</v>
      </c>
      <c r="F14" s="53">
        <f t="shared" si="3"/>
        <v>94.821428571428527</v>
      </c>
      <c r="G14" s="53">
        <f t="shared" si="0"/>
        <v>94.821428571428569</v>
      </c>
    </row>
    <row r="15" spans="1:11" x14ac:dyDescent="0.25">
      <c r="A15">
        <f t="shared" si="1"/>
        <v>12</v>
      </c>
      <c r="B15">
        <f t="shared" si="4"/>
        <v>2</v>
      </c>
      <c r="C15" s="52">
        <f t="shared" si="2"/>
        <v>46088</v>
      </c>
      <c r="F15" s="53">
        <f t="shared" si="3"/>
        <v>94.714285714285666</v>
      </c>
      <c r="G15" s="53">
        <f t="shared" si="0"/>
        <v>94.714285714285708</v>
      </c>
    </row>
    <row r="16" spans="1:11" x14ac:dyDescent="0.25">
      <c r="A16">
        <f t="shared" si="1"/>
        <v>13</v>
      </c>
      <c r="B16">
        <f t="shared" si="4"/>
        <v>2</v>
      </c>
      <c r="C16" s="52">
        <f t="shared" si="2"/>
        <v>46089</v>
      </c>
      <c r="F16" s="53">
        <f t="shared" si="3"/>
        <v>94.607142857142804</v>
      </c>
      <c r="G16" s="53">
        <f t="shared" si="0"/>
        <v>94.607142857142861</v>
      </c>
    </row>
    <row r="17" spans="1:7" x14ac:dyDescent="0.25">
      <c r="A17">
        <f t="shared" si="1"/>
        <v>14</v>
      </c>
      <c r="B17">
        <f t="shared" si="4"/>
        <v>3</v>
      </c>
      <c r="C17" s="52">
        <f t="shared" si="2"/>
        <v>46090</v>
      </c>
      <c r="F17" s="53">
        <f t="shared" si="3"/>
        <v>94.499999999999943</v>
      </c>
      <c r="G17" s="53">
        <f t="shared" si="0"/>
        <v>94.5</v>
      </c>
    </row>
    <row r="18" spans="1:7" x14ac:dyDescent="0.25">
      <c r="A18">
        <f t="shared" si="1"/>
        <v>15</v>
      </c>
      <c r="B18">
        <f t="shared" si="4"/>
        <v>3</v>
      </c>
      <c r="C18" s="52">
        <f t="shared" si="2"/>
        <v>46091</v>
      </c>
      <c r="F18" s="53">
        <f t="shared" si="3"/>
        <v>94.392857142857082</v>
      </c>
      <c r="G18" s="53">
        <f t="shared" si="0"/>
        <v>94.392857142857139</v>
      </c>
    </row>
    <row r="19" spans="1:7" x14ac:dyDescent="0.25">
      <c r="A19">
        <f t="shared" si="1"/>
        <v>16</v>
      </c>
      <c r="B19">
        <f t="shared" si="4"/>
        <v>3</v>
      </c>
      <c r="C19" s="52">
        <f t="shared" si="2"/>
        <v>46092</v>
      </c>
      <c r="F19" s="53">
        <f t="shared" si="3"/>
        <v>94.285714285714221</v>
      </c>
      <c r="G19" s="53">
        <f t="shared" si="0"/>
        <v>94.285714285714292</v>
      </c>
    </row>
    <row r="20" spans="1:7" x14ac:dyDescent="0.25">
      <c r="A20">
        <f t="shared" si="1"/>
        <v>17</v>
      </c>
      <c r="B20">
        <f t="shared" si="4"/>
        <v>3</v>
      </c>
      <c r="C20" s="52">
        <f t="shared" si="2"/>
        <v>46093</v>
      </c>
      <c r="F20" s="53">
        <f t="shared" si="3"/>
        <v>94.17857142857136</v>
      </c>
      <c r="G20" s="53">
        <f t="shared" si="0"/>
        <v>94.178571428571431</v>
      </c>
    </row>
    <row r="21" spans="1:7" x14ac:dyDescent="0.25">
      <c r="A21">
        <f t="shared" si="1"/>
        <v>18</v>
      </c>
      <c r="B21">
        <f t="shared" si="4"/>
        <v>3</v>
      </c>
      <c r="C21" s="52">
        <f t="shared" si="2"/>
        <v>46094</v>
      </c>
      <c r="F21" s="53">
        <f t="shared" si="3"/>
        <v>94.071428571428498</v>
      </c>
      <c r="G21" s="53">
        <f t="shared" si="0"/>
        <v>94.071428571428569</v>
      </c>
    </row>
    <row r="22" spans="1:7" x14ac:dyDescent="0.25">
      <c r="A22">
        <f t="shared" si="1"/>
        <v>19</v>
      </c>
      <c r="B22">
        <f t="shared" si="4"/>
        <v>3</v>
      </c>
      <c r="C22" s="52">
        <f t="shared" si="2"/>
        <v>46095</v>
      </c>
      <c r="F22" s="53">
        <f t="shared" si="3"/>
        <v>93.964285714285637</v>
      </c>
      <c r="G22" s="53">
        <f t="shared" si="0"/>
        <v>93.964285714285708</v>
      </c>
    </row>
    <row r="23" spans="1:7" x14ac:dyDescent="0.25">
      <c r="A23">
        <f t="shared" si="1"/>
        <v>20</v>
      </c>
      <c r="B23">
        <f t="shared" si="4"/>
        <v>3</v>
      </c>
      <c r="C23" s="52">
        <f t="shared" si="2"/>
        <v>46096</v>
      </c>
      <c r="F23" s="53">
        <f t="shared" si="3"/>
        <v>93.857142857142776</v>
      </c>
      <c r="G23" s="53">
        <f t="shared" si="0"/>
        <v>93.857142857142861</v>
      </c>
    </row>
    <row r="24" spans="1:7" x14ac:dyDescent="0.25">
      <c r="A24">
        <f t="shared" si="1"/>
        <v>21</v>
      </c>
      <c r="B24">
        <f t="shared" si="4"/>
        <v>4</v>
      </c>
      <c r="C24" s="52">
        <f t="shared" si="2"/>
        <v>46097</v>
      </c>
      <c r="F24" s="53">
        <f t="shared" si="3"/>
        <v>93.749999999999915</v>
      </c>
      <c r="G24" s="53">
        <f t="shared" si="0"/>
        <v>93.75</v>
      </c>
    </row>
    <row r="25" spans="1:7" x14ac:dyDescent="0.25">
      <c r="A25">
        <f t="shared" si="1"/>
        <v>22</v>
      </c>
      <c r="B25">
        <f t="shared" si="4"/>
        <v>4</v>
      </c>
      <c r="C25" s="52">
        <f t="shared" si="2"/>
        <v>46098</v>
      </c>
      <c r="F25" s="53">
        <f t="shared" si="3"/>
        <v>93.642857142857054</v>
      </c>
      <c r="G25" s="53">
        <f t="shared" si="0"/>
        <v>93.642857142857139</v>
      </c>
    </row>
    <row r="26" spans="1:7" x14ac:dyDescent="0.25">
      <c r="A26">
        <f t="shared" si="1"/>
        <v>23</v>
      </c>
      <c r="B26">
        <f t="shared" si="4"/>
        <v>4</v>
      </c>
      <c r="C26" s="52">
        <f t="shared" si="2"/>
        <v>46099</v>
      </c>
      <c r="F26" s="53">
        <f t="shared" si="3"/>
        <v>93.535714285714192</v>
      </c>
      <c r="G26" s="53">
        <f t="shared" si="0"/>
        <v>93.535714285714292</v>
      </c>
    </row>
    <row r="27" spans="1:7" x14ac:dyDescent="0.25">
      <c r="A27">
        <f t="shared" si="1"/>
        <v>24</v>
      </c>
      <c r="B27">
        <f t="shared" si="4"/>
        <v>4</v>
      </c>
      <c r="C27" s="52">
        <f t="shared" si="2"/>
        <v>46100</v>
      </c>
      <c r="F27" s="53">
        <f t="shared" si="3"/>
        <v>93.428571428571331</v>
      </c>
      <c r="G27" s="53">
        <f t="shared" si="0"/>
        <v>93.428571428571431</v>
      </c>
    </row>
    <row r="28" spans="1:7" x14ac:dyDescent="0.25">
      <c r="A28">
        <f t="shared" si="1"/>
        <v>25</v>
      </c>
      <c r="B28">
        <f t="shared" si="4"/>
        <v>4</v>
      </c>
      <c r="C28" s="52">
        <f t="shared" si="2"/>
        <v>46101</v>
      </c>
      <c r="F28" s="53">
        <f t="shared" si="3"/>
        <v>93.32142857142847</v>
      </c>
      <c r="G28" s="53">
        <f t="shared" si="0"/>
        <v>93.321428571428569</v>
      </c>
    </row>
    <row r="29" spans="1:7" x14ac:dyDescent="0.25">
      <c r="A29">
        <f t="shared" si="1"/>
        <v>26</v>
      </c>
      <c r="B29">
        <f t="shared" si="4"/>
        <v>4</v>
      </c>
      <c r="C29" s="52">
        <f t="shared" si="2"/>
        <v>46102</v>
      </c>
      <c r="F29" s="53">
        <f t="shared" si="3"/>
        <v>93.214285714285609</v>
      </c>
      <c r="G29" s="53">
        <f t="shared" si="0"/>
        <v>93.214285714285708</v>
      </c>
    </row>
    <row r="30" spans="1:7" x14ac:dyDescent="0.25">
      <c r="A30">
        <f t="shared" si="1"/>
        <v>27</v>
      </c>
      <c r="B30">
        <f t="shared" si="4"/>
        <v>4</v>
      </c>
      <c r="C30" s="52">
        <f t="shared" si="2"/>
        <v>46103</v>
      </c>
      <c r="F30" s="53">
        <f t="shared" si="3"/>
        <v>93.107142857142748</v>
      </c>
      <c r="G30" s="53">
        <f t="shared" si="0"/>
        <v>93.107142857142861</v>
      </c>
    </row>
    <row r="31" spans="1:7" x14ac:dyDescent="0.25">
      <c r="A31">
        <f t="shared" si="1"/>
        <v>28</v>
      </c>
      <c r="B31">
        <f t="shared" si="4"/>
        <v>5</v>
      </c>
      <c r="C31" s="52">
        <f t="shared" si="2"/>
        <v>46104</v>
      </c>
      <c r="F31" s="53">
        <f t="shared" si="3"/>
        <v>92.999999999999886</v>
      </c>
      <c r="G31" s="53">
        <f t="shared" si="0"/>
        <v>93</v>
      </c>
    </row>
    <row r="32" spans="1:7" x14ac:dyDescent="0.25">
      <c r="A32">
        <f t="shared" si="1"/>
        <v>29</v>
      </c>
      <c r="B32">
        <f t="shared" si="4"/>
        <v>5</v>
      </c>
      <c r="C32" s="52">
        <f t="shared" si="2"/>
        <v>46105</v>
      </c>
      <c r="F32" s="53">
        <f t="shared" si="3"/>
        <v>92.892857142857025</v>
      </c>
      <c r="G32" s="53">
        <f t="shared" si="0"/>
        <v>92.892857142857139</v>
      </c>
    </row>
    <row r="33" spans="1:7" x14ac:dyDescent="0.25">
      <c r="A33">
        <f t="shared" si="1"/>
        <v>30</v>
      </c>
      <c r="B33">
        <f t="shared" si="4"/>
        <v>5</v>
      </c>
      <c r="C33" s="52">
        <f t="shared" si="2"/>
        <v>46106</v>
      </c>
      <c r="F33" s="53">
        <f t="shared" si="3"/>
        <v>92.785714285714164</v>
      </c>
      <c r="G33" s="53">
        <f t="shared" si="0"/>
        <v>92.785714285714292</v>
      </c>
    </row>
    <row r="34" spans="1:7" x14ac:dyDescent="0.25">
      <c r="A34">
        <f t="shared" si="1"/>
        <v>31</v>
      </c>
      <c r="B34">
        <f t="shared" si="4"/>
        <v>5</v>
      </c>
      <c r="C34" s="52">
        <f t="shared" ref="C34:C52" si="5">C33+1</f>
        <v>46107</v>
      </c>
      <c r="F34" s="53">
        <f t="shared" si="3"/>
        <v>92.678571428571303</v>
      </c>
      <c r="G34" s="53">
        <f t="shared" si="0"/>
        <v>92.678571428571431</v>
      </c>
    </row>
    <row r="35" spans="1:7" x14ac:dyDescent="0.25">
      <c r="A35">
        <f t="shared" si="1"/>
        <v>32</v>
      </c>
      <c r="B35">
        <f t="shared" si="4"/>
        <v>5</v>
      </c>
      <c r="C35" s="52">
        <f t="shared" si="5"/>
        <v>46108</v>
      </c>
      <c r="F35" s="53">
        <f t="shared" si="3"/>
        <v>92.571428571428442</v>
      </c>
      <c r="G35" s="53">
        <f t="shared" si="0"/>
        <v>92.571428571428569</v>
      </c>
    </row>
    <row r="36" spans="1:7" x14ac:dyDescent="0.25">
      <c r="A36">
        <f t="shared" si="1"/>
        <v>33</v>
      </c>
      <c r="B36">
        <f t="shared" si="4"/>
        <v>5</v>
      </c>
      <c r="C36" s="52">
        <f t="shared" si="5"/>
        <v>46109</v>
      </c>
      <c r="F36" s="53">
        <f t="shared" si="3"/>
        <v>92.46428571428558</v>
      </c>
      <c r="G36" s="53">
        <f t="shared" si="0"/>
        <v>92.464285714285708</v>
      </c>
    </row>
    <row r="37" spans="1:7" x14ac:dyDescent="0.25">
      <c r="A37">
        <f t="shared" si="1"/>
        <v>34</v>
      </c>
      <c r="B37">
        <f t="shared" si="4"/>
        <v>5</v>
      </c>
      <c r="C37" s="52">
        <f t="shared" si="5"/>
        <v>46110</v>
      </c>
      <c r="F37" s="53">
        <f t="shared" si="3"/>
        <v>92.357142857142719</v>
      </c>
      <c r="G37" s="53">
        <f t="shared" si="0"/>
        <v>92.357142857142861</v>
      </c>
    </row>
    <row r="38" spans="1:7" x14ac:dyDescent="0.25">
      <c r="A38">
        <f t="shared" si="1"/>
        <v>35</v>
      </c>
      <c r="B38">
        <f t="shared" si="4"/>
        <v>6</v>
      </c>
      <c r="C38" s="52">
        <f t="shared" si="5"/>
        <v>46111</v>
      </c>
      <c r="F38" s="53">
        <f t="shared" si="3"/>
        <v>92.249999999999858</v>
      </c>
      <c r="G38" s="53">
        <f t="shared" si="0"/>
        <v>92.25</v>
      </c>
    </row>
    <row r="39" spans="1:7" x14ac:dyDescent="0.25">
      <c r="A39">
        <f t="shared" si="1"/>
        <v>36</v>
      </c>
      <c r="B39">
        <f t="shared" si="4"/>
        <v>6</v>
      </c>
      <c r="C39" s="52">
        <f t="shared" si="5"/>
        <v>46112</v>
      </c>
      <c r="F39" s="53">
        <f t="shared" si="3"/>
        <v>92.142857142856997</v>
      </c>
      <c r="G39" s="53">
        <f t="shared" si="0"/>
        <v>92.142857142857139</v>
      </c>
    </row>
    <row r="40" spans="1:7" x14ac:dyDescent="0.25">
      <c r="A40">
        <f t="shared" si="1"/>
        <v>37</v>
      </c>
      <c r="B40">
        <f t="shared" si="4"/>
        <v>6</v>
      </c>
      <c r="C40" s="52">
        <f t="shared" si="5"/>
        <v>46113</v>
      </c>
      <c r="F40" s="53">
        <f t="shared" si="3"/>
        <v>92.035714285714135</v>
      </c>
      <c r="G40" s="53">
        <f t="shared" si="0"/>
        <v>92.035714285714292</v>
      </c>
    </row>
    <row r="41" spans="1:7" x14ac:dyDescent="0.25">
      <c r="A41">
        <f t="shared" si="1"/>
        <v>38</v>
      </c>
      <c r="B41">
        <f t="shared" si="4"/>
        <v>6</v>
      </c>
      <c r="C41" s="52">
        <f t="shared" si="5"/>
        <v>46114</v>
      </c>
      <c r="F41" s="53">
        <f t="shared" si="3"/>
        <v>91.928571428571274</v>
      </c>
      <c r="G41" s="53">
        <f t="shared" si="0"/>
        <v>91.928571428571431</v>
      </c>
    </row>
    <row r="42" spans="1:7" x14ac:dyDescent="0.25">
      <c r="A42">
        <f t="shared" si="1"/>
        <v>39</v>
      </c>
      <c r="B42">
        <f t="shared" si="4"/>
        <v>6</v>
      </c>
      <c r="C42" s="52">
        <f t="shared" si="5"/>
        <v>46115</v>
      </c>
      <c r="F42" s="53">
        <f t="shared" si="3"/>
        <v>91.821428571428413</v>
      </c>
      <c r="G42" s="53">
        <f t="shared" si="0"/>
        <v>91.821428571428569</v>
      </c>
    </row>
    <row r="43" spans="1:7" x14ac:dyDescent="0.25">
      <c r="A43">
        <f t="shared" si="1"/>
        <v>40</v>
      </c>
      <c r="B43">
        <f t="shared" si="4"/>
        <v>6</v>
      </c>
      <c r="C43" s="52">
        <f t="shared" si="5"/>
        <v>46116</v>
      </c>
      <c r="F43" s="53">
        <f t="shared" si="3"/>
        <v>91.714285714285552</v>
      </c>
      <c r="G43" s="53">
        <f t="shared" si="0"/>
        <v>91.714285714285708</v>
      </c>
    </row>
    <row r="44" spans="1:7" x14ac:dyDescent="0.25">
      <c r="A44">
        <f t="shared" si="1"/>
        <v>41</v>
      </c>
      <c r="B44">
        <f t="shared" si="4"/>
        <v>6</v>
      </c>
      <c r="C44" s="52">
        <f t="shared" si="5"/>
        <v>46117</v>
      </c>
      <c r="F44" s="53">
        <f t="shared" si="3"/>
        <v>91.607142857142691</v>
      </c>
      <c r="G44" s="53">
        <f t="shared" si="0"/>
        <v>91.607142857142861</v>
      </c>
    </row>
    <row r="45" spans="1:7" x14ac:dyDescent="0.25">
      <c r="A45">
        <f t="shared" si="1"/>
        <v>42</v>
      </c>
      <c r="B45">
        <f t="shared" si="4"/>
        <v>7</v>
      </c>
      <c r="C45" s="52">
        <f t="shared" si="5"/>
        <v>46118</v>
      </c>
      <c r="F45" s="53">
        <f t="shared" si="3"/>
        <v>91.499999999999829</v>
      </c>
      <c r="G45" s="53">
        <f t="shared" si="0"/>
        <v>91.5</v>
      </c>
    </row>
    <row r="46" spans="1:7" x14ac:dyDescent="0.25">
      <c r="A46">
        <f t="shared" si="1"/>
        <v>43</v>
      </c>
      <c r="B46">
        <f t="shared" si="4"/>
        <v>7</v>
      </c>
      <c r="C46" s="52">
        <f t="shared" si="5"/>
        <v>46119</v>
      </c>
      <c r="F46" s="53">
        <f t="shared" si="3"/>
        <v>91.392857142856968</v>
      </c>
      <c r="G46" s="53">
        <f t="shared" si="0"/>
        <v>91.392857142857139</v>
      </c>
    </row>
    <row r="47" spans="1:7" x14ac:dyDescent="0.25">
      <c r="A47">
        <f t="shared" si="1"/>
        <v>44</v>
      </c>
      <c r="B47">
        <f t="shared" si="4"/>
        <v>7</v>
      </c>
      <c r="C47" s="52">
        <f t="shared" si="5"/>
        <v>46120</v>
      </c>
      <c r="F47" s="53">
        <f t="shared" si="3"/>
        <v>91.285714285714107</v>
      </c>
      <c r="G47" s="53">
        <f t="shared" si="0"/>
        <v>91.285714285714292</v>
      </c>
    </row>
    <row r="48" spans="1:7" x14ac:dyDescent="0.25">
      <c r="A48">
        <f t="shared" si="1"/>
        <v>45</v>
      </c>
      <c r="B48">
        <f t="shared" si="4"/>
        <v>7</v>
      </c>
      <c r="C48" s="52">
        <f t="shared" si="5"/>
        <v>46121</v>
      </c>
      <c r="F48" s="53">
        <f t="shared" si="3"/>
        <v>91.178571428571246</v>
      </c>
      <c r="G48" s="53">
        <f t="shared" si="0"/>
        <v>91.178571428571431</v>
      </c>
    </row>
    <row r="49" spans="1:7" x14ac:dyDescent="0.25">
      <c r="A49">
        <f t="shared" si="1"/>
        <v>46</v>
      </c>
      <c r="B49">
        <f t="shared" si="4"/>
        <v>7</v>
      </c>
      <c r="C49" s="52">
        <f t="shared" si="5"/>
        <v>46122</v>
      </c>
      <c r="F49" s="53">
        <f t="shared" si="3"/>
        <v>91.071428571428385</v>
      </c>
      <c r="G49" s="53">
        <f t="shared" si="0"/>
        <v>91.071428571428569</v>
      </c>
    </row>
    <row r="50" spans="1:7" x14ac:dyDescent="0.25">
      <c r="A50">
        <f t="shared" si="1"/>
        <v>47</v>
      </c>
      <c r="B50">
        <f t="shared" si="4"/>
        <v>7</v>
      </c>
      <c r="C50" s="52">
        <f t="shared" si="5"/>
        <v>46123</v>
      </c>
      <c r="F50" s="53">
        <f t="shared" si="3"/>
        <v>90.964285714285523</v>
      </c>
      <c r="G50" s="53">
        <f t="shared" si="0"/>
        <v>90.964285714285708</v>
      </c>
    </row>
    <row r="51" spans="1:7" x14ac:dyDescent="0.25">
      <c r="A51">
        <f t="shared" si="1"/>
        <v>48</v>
      </c>
      <c r="B51">
        <f t="shared" si="4"/>
        <v>7</v>
      </c>
      <c r="C51" s="52">
        <f t="shared" si="5"/>
        <v>46124</v>
      </c>
      <c r="F51" s="53">
        <f t="shared" si="3"/>
        <v>90.857142857142662</v>
      </c>
      <c r="G51" s="53">
        <f t="shared" si="0"/>
        <v>90.857142857142861</v>
      </c>
    </row>
    <row r="52" spans="1:7" x14ac:dyDescent="0.25">
      <c r="A52">
        <f t="shared" si="1"/>
        <v>49</v>
      </c>
      <c r="B52">
        <f t="shared" si="4"/>
        <v>8</v>
      </c>
      <c r="C52" s="52">
        <f t="shared" si="5"/>
        <v>46125</v>
      </c>
      <c r="F52" s="53">
        <f t="shared" si="3"/>
        <v>90.749999999999801</v>
      </c>
      <c r="G52" s="53">
        <f t="shared" si="0"/>
        <v>90.75</v>
      </c>
    </row>
    <row r="53" spans="1:7" x14ac:dyDescent="0.25">
      <c r="A53">
        <f t="shared" si="1"/>
        <v>50</v>
      </c>
      <c r="B53">
        <f t="shared" si="4"/>
        <v>8</v>
      </c>
      <c r="C53" s="52">
        <f t="shared" ref="C53:C72" si="6">C52+1</f>
        <v>46126</v>
      </c>
      <c r="F53" s="53">
        <f t="shared" si="3"/>
        <v>90.64285714285694</v>
      </c>
      <c r="G53" s="53">
        <f t="shared" si="0"/>
        <v>90.642857142857139</v>
      </c>
    </row>
    <row r="54" spans="1:7" x14ac:dyDescent="0.25">
      <c r="A54">
        <f t="shared" si="1"/>
        <v>51</v>
      </c>
      <c r="B54">
        <f t="shared" si="4"/>
        <v>8</v>
      </c>
      <c r="C54" s="52">
        <f t="shared" si="6"/>
        <v>46127</v>
      </c>
      <c r="F54" s="53">
        <f t="shared" si="3"/>
        <v>90.535714285714079</v>
      </c>
      <c r="G54" s="53">
        <f t="shared" si="0"/>
        <v>90.535714285714292</v>
      </c>
    </row>
    <row r="55" spans="1:7" x14ac:dyDescent="0.25">
      <c r="A55">
        <f t="shared" si="1"/>
        <v>52</v>
      </c>
      <c r="B55">
        <f t="shared" si="4"/>
        <v>8</v>
      </c>
      <c r="C55" s="52">
        <f t="shared" si="6"/>
        <v>46128</v>
      </c>
      <c r="F55" s="53">
        <f t="shared" si="3"/>
        <v>90.428571428571217</v>
      </c>
      <c r="G55" s="53">
        <f t="shared" si="0"/>
        <v>90.428571428571431</v>
      </c>
    </row>
    <row r="56" spans="1:7" x14ac:dyDescent="0.25">
      <c r="A56">
        <f t="shared" si="1"/>
        <v>53</v>
      </c>
      <c r="B56">
        <f t="shared" si="4"/>
        <v>8</v>
      </c>
      <c r="C56" s="52">
        <f t="shared" si="6"/>
        <v>46129</v>
      </c>
      <c r="F56" s="53">
        <f t="shared" si="3"/>
        <v>90.321428571428356</v>
      </c>
      <c r="G56" s="53">
        <f t="shared" si="0"/>
        <v>90.321428571428569</v>
      </c>
    </row>
    <row r="57" spans="1:7" x14ac:dyDescent="0.25">
      <c r="A57">
        <f t="shared" si="1"/>
        <v>54</v>
      </c>
      <c r="B57">
        <f t="shared" si="4"/>
        <v>8</v>
      </c>
      <c r="C57" s="52">
        <f t="shared" si="6"/>
        <v>46130</v>
      </c>
      <c r="F57" s="53">
        <f t="shared" si="3"/>
        <v>90.214285714285495</v>
      </c>
      <c r="G57" s="53">
        <f t="shared" si="0"/>
        <v>90.214285714285708</v>
      </c>
    </row>
    <row r="58" spans="1:7" x14ac:dyDescent="0.25">
      <c r="A58">
        <f t="shared" si="1"/>
        <v>55</v>
      </c>
      <c r="B58">
        <f t="shared" si="4"/>
        <v>8</v>
      </c>
      <c r="C58" s="52">
        <f t="shared" si="6"/>
        <v>46131</v>
      </c>
      <c r="F58" s="53">
        <f t="shared" si="3"/>
        <v>90.107142857142634</v>
      </c>
      <c r="G58" s="53">
        <f t="shared" si="0"/>
        <v>90.107142857142861</v>
      </c>
    </row>
    <row r="59" spans="1:7" x14ac:dyDescent="0.25">
      <c r="A59">
        <f t="shared" si="1"/>
        <v>56</v>
      </c>
      <c r="B59">
        <f t="shared" si="4"/>
        <v>9</v>
      </c>
      <c r="C59" s="52">
        <f t="shared" si="6"/>
        <v>46132</v>
      </c>
      <c r="F59" s="53">
        <f t="shared" si="3"/>
        <v>89.999999999999773</v>
      </c>
      <c r="G59" s="53">
        <f t="shared" si="0"/>
        <v>90</v>
      </c>
    </row>
    <row r="60" spans="1:7" x14ac:dyDescent="0.25">
      <c r="A60">
        <f t="shared" si="1"/>
        <v>57</v>
      </c>
      <c r="B60">
        <f t="shared" si="4"/>
        <v>9</v>
      </c>
      <c r="C60" s="52">
        <f t="shared" si="6"/>
        <v>46133</v>
      </c>
      <c r="F60" s="53">
        <f t="shared" si="3"/>
        <v>89.892857142856911</v>
      </c>
      <c r="G60" s="53">
        <f t="shared" si="0"/>
        <v>89.892857142857139</v>
      </c>
    </row>
    <row r="61" spans="1:7" x14ac:dyDescent="0.25">
      <c r="A61">
        <f t="shared" si="1"/>
        <v>58</v>
      </c>
      <c r="B61">
        <f t="shared" si="4"/>
        <v>9</v>
      </c>
      <c r="C61" s="52">
        <f t="shared" si="6"/>
        <v>46134</v>
      </c>
      <c r="F61" s="53">
        <f t="shared" si="3"/>
        <v>89.78571428571405</v>
      </c>
      <c r="G61" s="53">
        <f t="shared" si="0"/>
        <v>89.785714285714292</v>
      </c>
    </row>
    <row r="62" spans="1:7" x14ac:dyDescent="0.25">
      <c r="A62">
        <f t="shared" si="1"/>
        <v>59</v>
      </c>
      <c r="B62">
        <f t="shared" si="4"/>
        <v>9</v>
      </c>
      <c r="C62" s="52">
        <f t="shared" si="6"/>
        <v>46135</v>
      </c>
      <c r="F62" s="53">
        <f t="shared" si="3"/>
        <v>89.678571428571189</v>
      </c>
      <c r="G62" s="53">
        <f t="shared" si="0"/>
        <v>89.678571428571431</v>
      </c>
    </row>
    <row r="63" spans="1:7" x14ac:dyDescent="0.25">
      <c r="A63">
        <f t="shared" si="1"/>
        <v>60</v>
      </c>
      <c r="B63">
        <f t="shared" si="4"/>
        <v>9</v>
      </c>
      <c r="C63" s="52">
        <f t="shared" si="6"/>
        <v>46136</v>
      </c>
      <c r="F63" s="53">
        <f t="shared" si="3"/>
        <v>89.571428571428328</v>
      </c>
      <c r="G63" s="53">
        <f t="shared" si="0"/>
        <v>89.571428571428569</v>
      </c>
    </row>
    <row r="64" spans="1:7" x14ac:dyDescent="0.25">
      <c r="A64">
        <f t="shared" si="1"/>
        <v>61</v>
      </c>
      <c r="B64">
        <f t="shared" si="4"/>
        <v>9</v>
      </c>
      <c r="C64" s="52">
        <f t="shared" si="6"/>
        <v>46137</v>
      </c>
      <c r="F64" s="53">
        <f t="shared" si="3"/>
        <v>89.464285714285467</v>
      </c>
      <c r="G64" s="53">
        <f t="shared" si="0"/>
        <v>89.464285714285708</v>
      </c>
    </row>
    <row r="65" spans="1:7" x14ac:dyDescent="0.25">
      <c r="A65">
        <f t="shared" si="1"/>
        <v>62</v>
      </c>
      <c r="B65">
        <f t="shared" si="4"/>
        <v>9</v>
      </c>
      <c r="C65" s="52">
        <f t="shared" si="6"/>
        <v>46138</v>
      </c>
      <c r="F65" s="53">
        <f t="shared" si="3"/>
        <v>89.357142857142605</v>
      </c>
      <c r="G65" s="53">
        <f t="shared" si="0"/>
        <v>89.357142857142861</v>
      </c>
    </row>
    <row r="66" spans="1:7" x14ac:dyDescent="0.25">
      <c r="A66">
        <f t="shared" si="1"/>
        <v>63</v>
      </c>
      <c r="B66">
        <f t="shared" si="4"/>
        <v>10</v>
      </c>
      <c r="C66" s="52">
        <f t="shared" si="6"/>
        <v>46139</v>
      </c>
      <c r="F66" s="53">
        <f t="shared" si="3"/>
        <v>89.249999999999744</v>
      </c>
      <c r="G66" s="53">
        <f t="shared" si="0"/>
        <v>89.25</v>
      </c>
    </row>
    <row r="67" spans="1:7" x14ac:dyDescent="0.25">
      <c r="A67">
        <f t="shared" si="1"/>
        <v>64</v>
      </c>
      <c r="B67">
        <f t="shared" si="4"/>
        <v>10</v>
      </c>
      <c r="C67" s="52">
        <f t="shared" si="6"/>
        <v>46140</v>
      </c>
      <c r="F67" s="53">
        <f t="shared" si="3"/>
        <v>89.142857142856883</v>
      </c>
      <c r="G67" s="53">
        <f t="shared" si="0"/>
        <v>89.142857142857139</v>
      </c>
    </row>
    <row r="68" spans="1:7" x14ac:dyDescent="0.25">
      <c r="A68">
        <f t="shared" si="1"/>
        <v>65</v>
      </c>
      <c r="B68">
        <f t="shared" si="4"/>
        <v>10</v>
      </c>
      <c r="C68" s="52">
        <f t="shared" si="6"/>
        <v>46141</v>
      </c>
      <c r="F68" s="53">
        <f t="shared" si="3"/>
        <v>89.035714285714022</v>
      </c>
      <c r="G68" s="53">
        <f t="shared" ref="G68:G72" si="7">($I$3*($A68^2))+($J$3*$A68)+$K$3</f>
        <v>89.035714285714292</v>
      </c>
    </row>
    <row r="69" spans="1:7" x14ac:dyDescent="0.25">
      <c r="A69">
        <f t="shared" ref="A69:A72" si="8">A68+1</f>
        <v>66</v>
      </c>
      <c r="B69">
        <f t="shared" si="4"/>
        <v>10</v>
      </c>
      <c r="C69" s="52">
        <f t="shared" si="6"/>
        <v>46142</v>
      </c>
      <c r="F69" s="53">
        <f t="shared" ref="F69:F72" si="9">F68-0.75/7</f>
        <v>88.928571428571161</v>
      </c>
      <c r="G69" s="53">
        <f t="shared" si="7"/>
        <v>88.928571428571431</v>
      </c>
    </row>
    <row r="70" spans="1:7" x14ac:dyDescent="0.25">
      <c r="A70">
        <f t="shared" si="8"/>
        <v>67</v>
      </c>
      <c r="B70">
        <f t="shared" si="4"/>
        <v>10</v>
      </c>
      <c r="C70" s="52">
        <f t="shared" si="6"/>
        <v>46143</v>
      </c>
      <c r="F70" s="53">
        <f t="shared" si="9"/>
        <v>88.821428571428299</v>
      </c>
      <c r="G70" s="53">
        <f t="shared" si="7"/>
        <v>88.821428571428569</v>
      </c>
    </row>
    <row r="71" spans="1:7" x14ac:dyDescent="0.25">
      <c r="A71">
        <f t="shared" si="8"/>
        <v>68</v>
      </c>
      <c r="B71">
        <f t="shared" si="4"/>
        <v>10</v>
      </c>
      <c r="C71" s="52">
        <f t="shared" si="6"/>
        <v>46144</v>
      </c>
      <c r="F71" s="53">
        <f t="shared" si="9"/>
        <v>88.714285714285438</v>
      </c>
      <c r="G71" s="53">
        <f t="shared" si="7"/>
        <v>88.714285714285708</v>
      </c>
    </row>
    <row r="72" spans="1:7" x14ac:dyDescent="0.25">
      <c r="A72">
        <f t="shared" si="8"/>
        <v>69</v>
      </c>
      <c r="B72">
        <f t="shared" si="4"/>
        <v>10</v>
      </c>
      <c r="C72" s="52">
        <f t="shared" si="6"/>
        <v>46145</v>
      </c>
      <c r="F72" s="53">
        <f t="shared" si="9"/>
        <v>88.607142857142577</v>
      </c>
      <c r="G72" s="53">
        <f t="shared" si="7"/>
        <v>88.607142857142861</v>
      </c>
    </row>
    <row r="73" spans="1:7" x14ac:dyDescent="0.25">
      <c r="C73" s="52"/>
    </row>
    <row r="74" spans="1:7" x14ac:dyDescent="0.25">
      <c r="C74" s="52"/>
    </row>
    <row r="75" spans="1:7" x14ac:dyDescent="0.25">
      <c r="C75" s="52"/>
    </row>
    <row r="76" spans="1:7" x14ac:dyDescent="0.25">
      <c r="C76" s="52"/>
    </row>
    <row r="77" spans="1:7" x14ac:dyDescent="0.25">
      <c r="C77" s="5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Actual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Callum Bailey</dc:creator>
  <cp:lastModifiedBy>Callum Bailey</cp:lastModifiedBy>
  <dcterms:created xsi:type="dcterms:W3CDTF">2026-02-19T08:30:56Z</dcterms:created>
  <dcterms:modified xsi:type="dcterms:W3CDTF">2026-02-21T14:47:07Z</dcterms:modified>
</cp:coreProperties>
</file>